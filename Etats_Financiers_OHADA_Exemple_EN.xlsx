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neral journal" sheetId="1" state="visible" r:id="rId3"/>
    <sheet name="Trial balance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Rat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<sst xmlns="http://schemas.openxmlformats.org/spreadsheetml/2006/main" count="303" uniqueCount="188">
  <si>
    <t xml:space="preserve">GENERAL JOURNAL - OHADA - FY 2025</t>
  </si>
  <si>
    <t xml:space="preserve">Date</t>
  </si>
  <si>
    <t xml:space="preserve">Ref.</t>
  </si>
  <si>
    <t xml:space="preserve">Account</t>
  </si>
  <si>
    <t xml:space="preserve">Account name</t>
  </si>
  <si>
    <t xml:space="preserve">Entry description</t>
  </si>
  <si>
    <t xml:space="preserve">Debit</t>
  </si>
  <si>
    <t xml:space="preserve">Credit</t>
  </si>
  <si>
    <t xml:space="preserve">01/01/2025</t>
  </si>
  <si>
    <t xml:space="preserve">OUV</t>
  </si>
  <si>
    <t xml:space="preserve">Immobilisations corporelles</t>
  </si>
  <si>
    <t xml:space="preserve">Solde d'ouverture</t>
  </si>
  <si>
    <t xml:space="preserve">Stocks de marchandises</t>
  </si>
  <si>
    <t xml:space="preserve">Clients</t>
  </si>
  <si>
    <t xml:space="preserve">Banques</t>
  </si>
  <si>
    <t xml:space="preserve">Amortissements</t>
  </si>
  <si>
    <t xml:space="preserve">Fournisseurs</t>
  </si>
  <si>
    <t xml:space="preserve">Emprunts</t>
  </si>
  <si>
    <t xml:space="preserve">Capital social</t>
  </si>
  <si>
    <t xml:space="preserve">Reserves</t>
  </si>
  <si>
    <t xml:space="preserve">Report a nouveau</t>
  </si>
  <si>
    <t xml:space="preserve">15/02/2025</t>
  </si>
  <si>
    <t xml:space="preserve">VT-01</t>
  </si>
  <si>
    <t xml:space="preserve">Ventes a credit</t>
  </si>
  <si>
    <t xml:space="preserve">Ventes de marchandises</t>
  </si>
  <si>
    <t xml:space="preserve">20/03/2025</t>
  </si>
  <si>
    <t xml:space="preserve">ENC-01</t>
  </si>
  <si>
    <t xml:space="preserve">Encaissement clients</t>
  </si>
  <si>
    <t xml:space="preserve">05/04/2025</t>
  </si>
  <si>
    <t xml:space="preserve">ACH-01</t>
  </si>
  <si>
    <t xml:space="preserve">Achats de marchandises</t>
  </si>
  <si>
    <t xml:space="preserve">Achats a credit</t>
  </si>
  <si>
    <t xml:space="preserve">10/07/2025</t>
  </si>
  <si>
    <t xml:space="preserve">PAY-01</t>
  </si>
  <si>
    <t xml:space="preserve">Reglement fournisseurs</t>
  </si>
  <si>
    <t xml:space="preserve">31/07/2025</t>
  </si>
  <si>
    <t xml:space="preserve">SAL-01</t>
  </si>
  <si>
    <t xml:space="preserve">Charges de personnel</t>
  </si>
  <si>
    <t xml:space="preserve">Salaires</t>
  </si>
  <si>
    <t xml:space="preserve">31/08/2025</t>
  </si>
  <si>
    <t xml:space="preserve">SE-01</t>
  </si>
  <si>
    <t xml:space="preserve">Services exterieurs</t>
  </si>
  <si>
    <t xml:space="preserve">Prestations externes</t>
  </si>
  <si>
    <t xml:space="preserve">15/10/2025</t>
  </si>
  <si>
    <t xml:space="preserve">INV-01</t>
  </si>
  <si>
    <t xml:space="preserve">Acquisition materiel</t>
  </si>
  <si>
    <t xml:space="preserve">31/10/2025</t>
  </si>
  <si>
    <t xml:space="preserve">FIN-01</t>
  </si>
  <si>
    <t xml:space="preserve">Charges financieres</t>
  </si>
  <si>
    <t xml:space="preserve">Interets emprunt</t>
  </si>
  <si>
    <t xml:space="preserve">01/11/2025</t>
  </si>
  <si>
    <t xml:space="preserve">EMP-01</t>
  </si>
  <si>
    <t xml:space="preserve">Nouvel emprunt</t>
  </si>
  <si>
    <t xml:space="preserve">15/12/2025</t>
  </si>
  <si>
    <t xml:space="preserve">IS-01</t>
  </si>
  <si>
    <t xml:space="preserve">Impots sur le resultat</t>
  </si>
  <si>
    <t xml:space="preserve">Charge d'impot</t>
  </si>
  <si>
    <t xml:space="preserve">Etat, impot sur benefices</t>
  </si>
  <si>
    <t xml:space="preserve">20/12/2025</t>
  </si>
  <si>
    <t xml:space="preserve">IS-02</t>
  </si>
  <si>
    <t xml:space="preserve">Paiement acompte</t>
  </si>
  <si>
    <t xml:space="preserve">28/12/2025</t>
  </si>
  <si>
    <t xml:space="preserve">DIV-01</t>
  </si>
  <si>
    <t xml:space="preserve">Dividendes verses</t>
  </si>
  <si>
    <t xml:space="preserve">31/12/2025</t>
  </si>
  <si>
    <t xml:space="preserve">AM-01</t>
  </si>
  <si>
    <t xml:space="preserve">Dotations aux amortissements</t>
  </si>
  <si>
    <t xml:space="preserve">Dotation exercice</t>
  </si>
  <si>
    <t xml:space="preserve">VS-01</t>
  </si>
  <si>
    <t xml:space="preserve">Variation de stocks de marchandises</t>
  </si>
  <si>
    <t xml:space="preserve">Destockage net</t>
  </si>
  <si>
    <t xml:space="preserve">TOTALS</t>
  </si>
  <si>
    <t xml:space="preserve">Balance check</t>
  </si>
  <si>
    <t xml:space="preserve">TRIAL BALANCE - OHADA - FY 2025</t>
  </si>
  <si>
    <t xml:space="preserve">Account No.</t>
  </si>
  <si>
    <t xml:space="preserve">Total debit</t>
  </si>
  <si>
    <t xml:space="preserve">Total credit</t>
  </si>
  <si>
    <t xml:space="preserve">Debit balance</t>
  </si>
  <si>
    <t xml:space="preserve">Credit balance</t>
  </si>
  <si>
    <t xml:space="preserve">Share capital</t>
  </si>
  <si>
    <t xml:space="preserve">Retained earnings brought forward</t>
  </si>
  <si>
    <t xml:space="preserve">Borrowings</t>
  </si>
  <si>
    <t xml:space="preserve">Property, plant and equipment (gross)</t>
  </si>
  <si>
    <t xml:space="preserve">Accumulated depreciation</t>
  </si>
  <si>
    <t xml:space="preserve">Merchandise inventory</t>
  </si>
  <si>
    <t xml:space="preserve">Trade payables</t>
  </si>
  <si>
    <t xml:space="preserve">Trade receivables</t>
  </si>
  <si>
    <t xml:space="preserve">Income tax payable</t>
  </si>
  <si>
    <t xml:space="preserve">Bank accounts</t>
  </si>
  <si>
    <t xml:space="preserve">Purchases of merchandise</t>
  </si>
  <si>
    <t xml:space="preserve">Change in merchandise inventory</t>
  </si>
  <si>
    <t xml:space="preserve">External services</t>
  </si>
  <si>
    <t xml:space="preserve">Staff costs</t>
  </si>
  <si>
    <t xml:space="preserve">Financial charges</t>
  </si>
  <si>
    <t xml:space="preserve">Depreciation and amortisation</t>
  </si>
  <si>
    <t xml:space="preserve">Sales of merchandise</t>
  </si>
  <si>
    <t xml:space="preserve">Income tax expense</t>
  </si>
  <si>
    <t xml:space="preserve">INCOME STATEMENT (OHADA intermediate balances) - FY 2025</t>
  </si>
  <si>
    <t xml:space="preserve">Line item</t>
  </si>
  <si>
    <t xml:space="preserve">Amount</t>
  </si>
  <si>
    <t xml:space="preserve">GROSS MARGIN</t>
  </si>
  <si>
    <t xml:space="preserve">VALUE ADDED</t>
  </si>
  <si>
    <t xml:space="preserve">GROSS OPERATING SURPLUS (EBE)</t>
  </si>
  <si>
    <t xml:space="preserve">OPERATING PROFIT</t>
  </si>
  <si>
    <t xml:space="preserve">Finance costs</t>
  </si>
  <si>
    <t xml:space="preserve">FINANCIAL RESULT</t>
  </si>
  <si>
    <t xml:space="preserve">ORDINARY ACTIVITY RESULT</t>
  </si>
  <si>
    <t xml:space="preserve">Extraordinary result (EO)</t>
  </si>
  <si>
    <t xml:space="preserve">PROFIT BEFORE TAX</t>
  </si>
  <si>
    <t xml:space="preserve">NET PROFIT FOR THE YEAR</t>
  </si>
  <si>
    <t xml:space="preserve">STATEMENT OF FINANCIAL POSITION (OHADA) at 31/12/2025</t>
  </si>
  <si>
    <t xml:space="preserve">ASSETS</t>
  </si>
  <si>
    <t xml:space="preserve">Gross</t>
  </si>
  <si>
    <t xml:space="preserve">Amort./Depr.</t>
  </si>
  <si>
    <t xml:space="preserve">Net</t>
  </si>
  <si>
    <t xml:space="preserve">Non-current assets</t>
  </si>
  <si>
    <t xml:space="preserve">Property, plant and equipment</t>
  </si>
  <si>
    <t xml:space="preserve">Total non-current assets</t>
  </si>
  <si>
    <t xml:space="preserve">Current assets</t>
  </si>
  <si>
    <t xml:space="preserve">Total current assets</t>
  </si>
  <si>
    <t xml:space="preserve">Cash and cash equivalents</t>
  </si>
  <si>
    <t xml:space="preserve">Total cash</t>
  </si>
  <si>
    <t xml:space="preserve">TOTAL ASSETS</t>
  </si>
  <si>
    <t xml:space="preserve">LIABILITIES AND EQUITY</t>
  </si>
  <si>
    <t xml:space="preserve">Equity</t>
  </si>
  <si>
    <t xml:space="preserve">Net profit for the year</t>
  </si>
  <si>
    <t xml:space="preserve">Total equity</t>
  </si>
  <si>
    <t xml:space="preserve">Non-current liabilities</t>
  </si>
  <si>
    <t xml:space="preserve">Total non-current liabilities</t>
  </si>
  <si>
    <t xml:space="preserve">Current liabilities</t>
  </si>
  <si>
    <t xml:space="preserve">Total current liabilities</t>
  </si>
  <si>
    <t xml:space="preserve">TOTAL LIABILITIES AND EQUITY</t>
  </si>
  <si>
    <t xml:space="preserve">Check (Assets - Liabilities)</t>
  </si>
  <si>
    <t xml:space="preserve">CASH FLOW STATEMENT (OHADA, indirect method) - FY 2025</t>
  </si>
  <si>
    <t xml:space="preserve">Opening balances (01/01)</t>
  </si>
  <si>
    <t xml:space="preserve">Value</t>
  </si>
  <si>
    <t xml:space="preserve">Operating activities</t>
  </si>
  <si>
    <t xml:space="preserve">Profit before tax</t>
  </si>
  <si>
    <t xml:space="preserve">Inventory</t>
  </si>
  <si>
    <t xml:space="preserve">+ Depreciation and amortisation</t>
  </si>
  <si>
    <t xml:space="preserve">+ Finance costs</t>
  </si>
  <si>
    <t xml:space="preserve">PPE (gross)</t>
  </si>
  <si>
    <t xml:space="preserve">Result before working capital changes</t>
  </si>
  <si>
    <t xml:space="preserve">Change in receivables</t>
  </si>
  <si>
    <t xml:space="preserve">Cash/Bank</t>
  </si>
  <si>
    <t xml:space="preserve">Change in inventory</t>
  </si>
  <si>
    <t xml:space="preserve">Retained earnings</t>
  </si>
  <si>
    <t xml:space="preserve">Change in payables</t>
  </si>
  <si>
    <t xml:space="preserve">Cash from operations</t>
  </si>
  <si>
    <t xml:space="preserve">Interest paid</t>
  </si>
  <si>
    <t xml:space="preserve">Tax paid</t>
  </si>
  <si>
    <t xml:space="preserve">Net cash from operating activities</t>
  </si>
  <si>
    <t xml:space="preserve">Investing activities</t>
  </si>
  <si>
    <t xml:space="preserve">Acquisition of PPE</t>
  </si>
  <si>
    <t xml:space="preserve">Net cash from investing activities</t>
  </si>
  <si>
    <t xml:space="preserve">Financing activities</t>
  </si>
  <si>
    <t xml:space="preserve">Change in borrowings</t>
  </si>
  <si>
    <t xml:space="preserve">Dividends paid</t>
  </si>
  <si>
    <t xml:space="preserve">Net cash from financing activities</t>
  </si>
  <si>
    <t xml:space="preserve">Net change in cash</t>
  </si>
  <si>
    <t xml:space="preserve">Cash at beginning</t>
  </si>
  <si>
    <t xml:space="preserve">Cash at end</t>
  </si>
  <si>
    <t xml:space="preserve">Check (vs balance sheet)</t>
  </si>
  <si>
    <t xml:space="preserve">FINANCIAL RATIOS (OHADA) - FY 2025</t>
  </si>
  <si>
    <t xml:space="preserve">Ratio</t>
  </si>
  <si>
    <t xml:space="preserve">Formula / interpretation</t>
  </si>
  <si>
    <t xml:space="preserve">Current ratio</t>
  </si>
  <si>
    <t xml:space="preserve">(Current assets + Cash) / Current liabilities</t>
  </si>
  <si>
    <t xml:space="preserve">Quick ratio</t>
  </si>
  <si>
    <t xml:space="preserve">Excluding inventory / Current liabilities</t>
  </si>
  <si>
    <t xml:space="preserve">Financial autonomy</t>
  </si>
  <si>
    <t xml:space="preserve">Equity / Total assets</t>
  </si>
  <si>
    <t xml:space="preserve">Debt to equity</t>
  </si>
  <si>
    <t xml:space="preserve">Borrowings / Equity</t>
  </si>
  <si>
    <t xml:space="preserve">Gross margin ratio</t>
  </si>
  <si>
    <t xml:space="preserve">Gross margin / Sales</t>
  </si>
  <si>
    <t xml:space="preserve">Value added ratio</t>
  </si>
  <si>
    <t xml:space="preserve">Value added / Sales</t>
  </si>
  <si>
    <t xml:space="preserve">Net margin</t>
  </si>
  <si>
    <t xml:space="preserve">Net profit / Sales</t>
  </si>
  <si>
    <t xml:space="preserve">ROE</t>
  </si>
  <si>
    <t xml:space="preserve">Net profit / Equity</t>
  </si>
  <si>
    <t xml:space="preserve">ROA</t>
  </si>
  <si>
    <t xml:space="preserve">Net profit / Total assets</t>
  </si>
  <si>
    <t xml:space="preserve">Inventory turnover</t>
  </si>
  <si>
    <t xml:space="preserve">COGS / Inventory</t>
  </si>
  <si>
    <t xml:space="preserve">Working capital requirement</t>
  </si>
  <si>
    <t xml:space="preserve">Inventory + Receivables - Payables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</si>
</sst>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0.00"/>
    <numFmt numFmtId="168" formatCode="0.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803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111827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803D"/>
        <bgColor rgb="FF008080"/>
      </patternFill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3" min="2" style="0" width="11.35"/>
    <col collapsed="false" customWidth="true" hidden="false" outlineLevel="0" max="4" min="4" style="0" width="38.6"/>
    <col collapsed="false" customWidth="true" hidden="false" outlineLevel="0" max="5" min="5" style="0" width="31.78"/>
    <col collapsed="false" customWidth="true" hidden="false" outlineLevel="0" max="7" min="6" style="0" width="15.8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3.8" hidden="false" customHeight="false" outlineLevel="0" collapsed="false">
      <c r="A3" s="3" t="s">
        <v>8</v>
      </c>
      <c r="B3" s="3" t="s">
        <v>9</v>
      </c>
      <c r="C3" s="4" t="n">
        <v>24</v>
      </c>
      <c r="D3" s="3" t="s">
        <v>10</v>
      </c>
      <c r="E3" s="3" t="s">
        <v>11</v>
      </c>
      <c r="F3" s="5" t="n">
        <v>200000</v>
      </c>
      <c r="G3" s="5"/>
    </row>
    <row r="4" customFormat="false" ht="13.8" hidden="false" customHeight="false" outlineLevel="0" collapsed="false">
      <c r="A4" s="3" t="s">
        <v>8</v>
      </c>
      <c r="B4" s="3" t="s">
        <v>9</v>
      </c>
      <c r="C4" s="4" t="n">
        <v>31</v>
      </c>
      <c r="D4" s="3" t="s">
        <v>12</v>
      </c>
      <c r="E4" s="3" t="s">
        <v>11</v>
      </c>
      <c r="F4" s="5" t="n">
        <v>40000</v>
      </c>
      <c r="G4" s="5"/>
    </row>
    <row r="5" customFormat="false" ht="13.8" hidden="false" customHeight="false" outlineLevel="0" collapsed="false">
      <c r="A5" s="3" t="s">
        <v>8</v>
      </c>
      <c r="B5" s="3" t="s">
        <v>9</v>
      </c>
      <c r="C5" s="4" t="n">
        <v>411</v>
      </c>
      <c r="D5" s="3" t="s">
        <v>13</v>
      </c>
      <c r="E5" s="3" t="s">
        <v>11</v>
      </c>
      <c r="F5" s="5" t="n">
        <v>30000</v>
      </c>
      <c r="G5" s="5"/>
    </row>
    <row r="6" customFormat="false" ht="13.8" hidden="false" customHeight="false" outlineLevel="0" collapsed="false">
      <c r="A6" s="3" t="s">
        <v>8</v>
      </c>
      <c r="B6" s="3" t="s">
        <v>9</v>
      </c>
      <c r="C6" s="4" t="n">
        <v>52</v>
      </c>
      <c r="D6" s="3" t="s">
        <v>14</v>
      </c>
      <c r="E6" s="3" t="s">
        <v>11</v>
      </c>
      <c r="F6" s="5" t="n">
        <v>50000</v>
      </c>
      <c r="G6" s="5"/>
    </row>
    <row r="7" customFormat="false" ht="13.8" hidden="false" customHeight="false" outlineLevel="0" collapsed="false">
      <c r="A7" s="3" t="s">
        <v>8</v>
      </c>
      <c r="B7" s="3" t="s">
        <v>9</v>
      </c>
      <c r="C7" s="4" t="n">
        <v>28</v>
      </c>
      <c r="D7" s="3" t="s">
        <v>15</v>
      </c>
      <c r="E7" s="3" t="s">
        <v>11</v>
      </c>
      <c r="F7" s="5"/>
      <c r="G7" s="5" t="n">
        <v>60000</v>
      </c>
    </row>
    <row r="8" customFormat="false" ht="13.8" hidden="false" customHeight="false" outlineLevel="0" collapsed="false">
      <c r="A8" s="3" t="s">
        <v>8</v>
      </c>
      <c r="B8" s="3" t="s">
        <v>9</v>
      </c>
      <c r="C8" s="4" t="n">
        <v>401</v>
      </c>
      <c r="D8" s="3" t="s">
        <v>16</v>
      </c>
      <c r="E8" s="3" t="s">
        <v>11</v>
      </c>
      <c r="F8" s="5"/>
      <c r="G8" s="5" t="n">
        <v>25000</v>
      </c>
    </row>
    <row r="9" customFormat="false" ht="13.8" hidden="false" customHeight="false" outlineLevel="0" collapsed="false">
      <c r="A9" s="3" t="s">
        <v>8</v>
      </c>
      <c r="B9" s="3" t="s">
        <v>9</v>
      </c>
      <c r="C9" s="4" t="n">
        <v>16</v>
      </c>
      <c r="D9" s="3" t="s">
        <v>17</v>
      </c>
      <c r="E9" s="3" t="s">
        <v>11</v>
      </c>
      <c r="F9" s="5"/>
      <c r="G9" s="5" t="n">
        <v>80000</v>
      </c>
    </row>
    <row r="10" customFormat="false" ht="13.8" hidden="false" customHeight="false" outlineLevel="0" collapsed="false">
      <c r="A10" s="3" t="s">
        <v>8</v>
      </c>
      <c r="B10" s="3" t="s">
        <v>9</v>
      </c>
      <c r="C10" s="4" t="n">
        <v>101</v>
      </c>
      <c r="D10" s="3" t="s">
        <v>18</v>
      </c>
      <c r="E10" s="3" t="s">
        <v>11</v>
      </c>
      <c r="F10" s="5"/>
      <c r="G10" s="5" t="n">
        <v>100000</v>
      </c>
    </row>
    <row r="11" customFormat="false" ht="13.8" hidden="false" customHeight="false" outlineLevel="0" collapsed="false">
      <c r="A11" s="3" t="s">
        <v>8</v>
      </c>
      <c r="B11" s="3" t="s">
        <v>9</v>
      </c>
      <c r="C11" s="4" t="n">
        <v>11</v>
      </c>
      <c r="D11" s="3" t="s">
        <v>19</v>
      </c>
      <c r="E11" s="3" t="s">
        <v>11</v>
      </c>
      <c r="F11" s="5"/>
      <c r="G11" s="5" t="n">
        <v>40000</v>
      </c>
    </row>
    <row r="12" customFormat="false" ht="13.8" hidden="false" customHeight="false" outlineLevel="0" collapsed="false">
      <c r="A12" s="3" t="s">
        <v>8</v>
      </c>
      <c r="B12" s="3" t="s">
        <v>9</v>
      </c>
      <c r="C12" s="4" t="n">
        <v>12</v>
      </c>
      <c r="D12" s="3" t="s">
        <v>20</v>
      </c>
      <c r="E12" s="3" t="s">
        <v>11</v>
      </c>
      <c r="F12" s="5"/>
      <c r="G12" s="5" t="n">
        <v>15000</v>
      </c>
    </row>
    <row r="13" customFormat="false" ht="13.8" hidden="false" customHeight="false" outlineLevel="0" collapsed="false">
      <c r="A13" s="3" t="s">
        <v>21</v>
      </c>
      <c r="B13" s="3" t="s">
        <v>22</v>
      </c>
      <c r="C13" s="4" t="n">
        <v>411</v>
      </c>
      <c r="D13" s="3" t="s">
        <v>13</v>
      </c>
      <c r="E13" s="3" t="s">
        <v>23</v>
      </c>
      <c r="F13" s="5" t="n">
        <v>300000</v>
      </c>
      <c r="G13" s="5"/>
    </row>
    <row r="14" customFormat="false" ht="13.8" hidden="false" customHeight="false" outlineLevel="0" collapsed="false">
      <c r="A14" s="3" t="s">
        <v>21</v>
      </c>
      <c r="B14" s="3" t="s">
        <v>22</v>
      </c>
      <c r="C14" s="4" t="n">
        <v>701</v>
      </c>
      <c r="D14" s="3" t="s">
        <v>24</v>
      </c>
      <c r="E14" s="3" t="s">
        <v>23</v>
      </c>
      <c r="F14" s="5"/>
      <c r="G14" s="5" t="n">
        <v>300000</v>
      </c>
    </row>
    <row r="15" customFormat="false" ht="13.8" hidden="false" customHeight="false" outlineLevel="0" collapsed="false">
      <c r="A15" s="3" t="s">
        <v>25</v>
      </c>
      <c r="B15" s="3" t="s">
        <v>26</v>
      </c>
      <c r="C15" s="4" t="n">
        <v>52</v>
      </c>
      <c r="D15" s="3" t="s">
        <v>14</v>
      </c>
      <c r="E15" s="3" t="s">
        <v>27</v>
      </c>
      <c r="F15" s="5" t="n">
        <v>290000</v>
      </c>
      <c r="G15" s="5"/>
    </row>
    <row r="16" customFormat="false" ht="13.8" hidden="false" customHeight="false" outlineLevel="0" collapsed="false">
      <c r="A16" s="3" t="s">
        <v>25</v>
      </c>
      <c r="B16" s="3" t="s">
        <v>26</v>
      </c>
      <c r="C16" s="4" t="n">
        <v>411</v>
      </c>
      <c r="D16" s="3" t="s">
        <v>13</v>
      </c>
      <c r="E16" s="3" t="s">
        <v>27</v>
      </c>
      <c r="F16" s="5"/>
      <c r="G16" s="5" t="n">
        <v>290000</v>
      </c>
    </row>
    <row r="17" customFormat="false" ht="13.8" hidden="false" customHeight="false" outlineLevel="0" collapsed="false">
      <c r="A17" s="3" t="s">
        <v>28</v>
      </c>
      <c r="B17" s="3" t="s">
        <v>29</v>
      </c>
      <c r="C17" s="4" t="n">
        <v>601</v>
      </c>
      <c r="D17" s="3" t="s">
        <v>30</v>
      </c>
      <c r="E17" s="3" t="s">
        <v>31</v>
      </c>
      <c r="F17" s="5" t="n">
        <v>160000</v>
      </c>
      <c r="G17" s="5"/>
    </row>
    <row r="18" customFormat="false" ht="13.8" hidden="false" customHeight="false" outlineLevel="0" collapsed="false">
      <c r="A18" s="3" t="s">
        <v>28</v>
      </c>
      <c r="B18" s="3" t="s">
        <v>29</v>
      </c>
      <c r="C18" s="4" t="n">
        <v>401</v>
      </c>
      <c r="D18" s="3" t="s">
        <v>16</v>
      </c>
      <c r="E18" s="3" t="s">
        <v>31</v>
      </c>
      <c r="F18" s="5"/>
      <c r="G18" s="5" t="n">
        <v>160000</v>
      </c>
    </row>
    <row r="19" customFormat="false" ht="13.8" hidden="false" customHeight="false" outlineLevel="0" collapsed="false">
      <c r="A19" s="3" t="s">
        <v>32</v>
      </c>
      <c r="B19" s="3" t="s">
        <v>33</v>
      </c>
      <c r="C19" s="4" t="n">
        <v>401</v>
      </c>
      <c r="D19" s="3" t="s">
        <v>16</v>
      </c>
      <c r="E19" s="3" t="s">
        <v>34</v>
      </c>
      <c r="F19" s="5" t="n">
        <v>165000</v>
      </c>
      <c r="G19" s="5"/>
    </row>
    <row r="20" customFormat="false" ht="13.8" hidden="false" customHeight="false" outlineLevel="0" collapsed="false">
      <c r="A20" s="3" t="s">
        <v>32</v>
      </c>
      <c r="B20" s="3" t="s">
        <v>33</v>
      </c>
      <c r="C20" s="4" t="n">
        <v>52</v>
      </c>
      <c r="D20" s="3" t="s">
        <v>14</v>
      </c>
      <c r="E20" s="3" t="s">
        <v>34</v>
      </c>
      <c r="F20" s="5"/>
      <c r="G20" s="5" t="n">
        <v>165000</v>
      </c>
    </row>
    <row r="21" customFormat="false" ht="13.8" hidden="false" customHeight="false" outlineLevel="0" collapsed="false">
      <c r="A21" s="3" t="s">
        <v>35</v>
      </c>
      <c r="B21" s="3" t="s">
        <v>36</v>
      </c>
      <c r="C21" s="4" t="n">
        <v>66</v>
      </c>
      <c r="D21" s="3" t="s">
        <v>37</v>
      </c>
      <c r="E21" s="3" t="s">
        <v>38</v>
      </c>
      <c r="F21" s="5" t="n">
        <v>60000</v>
      </c>
      <c r="G21" s="5"/>
    </row>
    <row r="22" customFormat="false" ht="13.8" hidden="false" customHeight="false" outlineLevel="0" collapsed="false">
      <c r="A22" s="3" t="s">
        <v>35</v>
      </c>
      <c r="B22" s="3" t="s">
        <v>36</v>
      </c>
      <c r="C22" s="4" t="n">
        <v>52</v>
      </c>
      <c r="D22" s="3" t="s">
        <v>14</v>
      </c>
      <c r="E22" s="3" t="s">
        <v>38</v>
      </c>
      <c r="F22" s="5"/>
      <c r="G22" s="5" t="n">
        <v>60000</v>
      </c>
    </row>
    <row r="23" customFormat="false" ht="13.8" hidden="false" customHeight="false" outlineLevel="0" collapsed="false">
      <c r="A23" s="3" t="s">
        <v>39</v>
      </c>
      <c r="B23" s="3" t="s">
        <v>40</v>
      </c>
      <c r="C23" s="4" t="n">
        <v>62</v>
      </c>
      <c r="D23" s="3" t="s">
        <v>41</v>
      </c>
      <c r="E23" s="3" t="s">
        <v>42</v>
      </c>
      <c r="F23" s="5" t="n">
        <v>25000</v>
      </c>
      <c r="G23" s="5"/>
    </row>
    <row r="24" customFormat="false" ht="13.8" hidden="false" customHeight="false" outlineLevel="0" collapsed="false">
      <c r="A24" s="3" t="s">
        <v>39</v>
      </c>
      <c r="B24" s="3" t="s">
        <v>40</v>
      </c>
      <c r="C24" s="4" t="n">
        <v>52</v>
      </c>
      <c r="D24" s="3" t="s">
        <v>14</v>
      </c>
      <c r="E24" s="3" t="s">
        <v>42</v>
      </c>
      <c r="F24" s="5"/>
      <c r="G24" s="5" t="n">
        <v>25000</v>
      </c>
    </row>
    <row r="25" customFormat="false" ht="13.8" hidden="false" customHeight="false" outlineLevel="0" collapsed="false">
      <c r="A25" s="3" t="s">
        <v>43</v>
      </c>
      <c r="B25" s="3" t="s">
        <v>44</v>
      </c>
      <c r="C25" s="4" t="n">
        <v>24</v>
      </c>
      <c r="D25" s="3" t="s">
        <v>10</v>
      </c>
      <c r="E25" s="3" t="s">
        <v>45</v>
      </c>
      <c r="F25" s="5" t="n">
        <v>30000</v>
      </c>
      <c r="G25" s="5"/>
    </row>
    <row r="26" customFormat="false" ht="13.8" hidden="false" customHeight="false" outlineLevel="0" collapsed="false">
      <c r="A26" s="3" t="s">
        <v>43</v>
      </c>
      <c r="B26" s="3" t="s">
        <v>44</v>
      </c>
      <c r="C26" s="4" t="n">
        <v>52</v>
      </c>
      <c r="D26" s="3" t="s">
        <v>14</v>
      </c>
      <c r="E26" s="3" t="s">
        <v>45</v>
      </c>
      <c r="F26" s="5"/>
      <c r="G26" s="5" t="n">
        <v>30000</v>
      </c>
    </row>
    <row r="27" customFormat="false" ht="13.8" hidden="false" customHeight="false" outlineLevel="0" collapsed="false">
      <c r="A27" s="3" t="s">
        <v>46</v>
      </c>
      <c r="B27" s="3" t="s">
        <v>47</v>
      </c>
      <c r="C27" s="4" t="n">
        <v>671</v>
      </c>
      <c r="D27" s="3" t="s">
        <v>48</v>
      </c>
      <c r="E27" s="3" t="s">
        <v>49</v>
      </c>
      <c r="F27" s="5" t="n">
        <v>8000</v>
      </c>
      <c r="G27" s="5"/>
    </row>
    <row r="28" customFormat="false" ht="13.8" hidden="false" customHeight="false" outlineLevel="0" collapsed="false">
      <c r="A28" s="3" t="s">
        <v>46</v>
      </c>
      <c r="B28" s="3" t="s">
        <v>47</v>
      </c>
      <c r="C28" s="4" t="n">
        <v>52</v>
      </c>
      <c r="D28" s="3" t="s">
        <v>14</v>
      </c>
      <c r="E28" s="3" t="s">
        <v>49</v>
      </c>
      <c r="F28" s="5"/>
      <c r="G28" s="5" t="n">
        <v>8000</v>
      </c>
    </row>
    <row r="29" customFormat="false" ht="13.8" hidden="false" customHeight="false" outlineLevel="0" collapsed="false">
      <c r="A29" s="3" t="s">
        <v>50</v>
      </c>
      <c r="B29" s="3" t="s">
        <v>51</v>
      </c>
      <c r="C29" s="4" t="n">
        <v>52</v>
      </c>
      <c r="D29" s="3" t="s">
        <v>14</v>
      </c>
      <c r="E29" s="3" t="s">
        <v>52</v>
      </c>
      <c r="F29" s="5" t="n">
        <v>20000</v>
      </c>
      <c r="G29" s="5"/>
    </row>
    <row r="30" customFormat="false" ht="13.8" hidden="false" customHeight="false" outlineLevel="0" collapsed="false">
      <c r="A30" s="3" t="s">
        <v>50</v>
      </c>
      <c r="B30" s="3" t="s">
        <v>51</v>
      </c>
      <c r="C30" s="4" t="n">
        <v>16</v>
      </c>
      <c r="D30" s="3" t="s">
        <v>17</v>
      </c>
      <c r="E30" s="3" t="s">
        <v>52</v>
      </c>
      <c r="F30" s="5"/>
      <c r="G30" s="5" t="n">
        <v>20000</v>
      </c>
    </row>
    <row r="31" customFormat="false" ht="13.8" hidden="false" customHeight="false" outlineLevel="0" collapsed="false">
      <c r="A31" s="3" t="s">
        <v>53</v>
      </c>
      <c r="B31" s="3" t="s">
        <v>54</v>
      </c>
      <c r="C31" s="4" t="n">
        <v>891</v>
      </c>
      <c r="D31" s="3" t="s">
        <v>55</v>
      </c>
      <c r="E31" s="3" t="s">
        <v>56</v>
      </c>
      <c r="F31" s="5" t="n">
        <v>12000</v>
      </c>
      <c r="G31" s="5"/>
    </row>
    <row r="32" customFormat="false" ht="13.8" hidden="false" customHeight="false" outlineLevel="0" collapsed="false">
      <c r="A32" s="3" t="s">
        <v>53</v>
      </c>
      <c r="B32" s="3" t="s">
        <v>54</v>
      </c>
      <c r="C32" s="4" t="n">
        <v>44</v>
      </c>
      <c r="D32" s="3" t="s">
        <v>57</v>
      </c>
      <c r="E32" s="3" t="s">
        <v>56</v>
      </c>
      <c r="F32" s="5"/>
      <c r="G32" s="5" t="n">
        <v>12000</v>
      </c>
    </row>
    <row r="33" customFormat="false" ht="13.8" hidden="false" customHeight="false" outlineLevel="0" collapsed="false">
      <c r="A33" s="3" t="s">
        <v>58</v>
      </c>
      <c r="B33" s="3" t="s">
        <v>59</v>
      </c>
      <c r="C33" s="4" t="n">
        <v>44</v>
      </c>
      <c r="D33" s="3" t="s">
        <v>57</v>
      </c>
      <c r="E33" s="3" t="s">
        <v>60</v>
      </c>
      <c r="F33" s="5" t="n">
        <v>9000</v>
      </c>
      <c r="G33" s="5"/>
    </row>
    <row r="34" customFormat="false" ht="13.8" hidden="false" customHeight="false" outlineLevel="0" collapsed="false">
      <c r="A34" s="3" t="s">
        <v>58</v>
      </c>
      <c r="B34" s="3" t="s">
        <v>59</v>
      </c>
      <c r="C34" s="4" t="n">
        <v>52</v>
      </c>
      <c r="D34" s="3" t="s">
        <v>14</v>
      </c>
      <c r="E34" s="3" t="s">
        <v>60</v>
      </c>
      <c r="F34" s="5"/>
      <c r="G34" s="5" t="n">
        <v>9000</v>
      </c>
    </row>
    <row r="35" customFormat="false" ht="13.8" hidden="false" customHeight="false" outlineLevel="0" collapsed="false">
      <c r="A35" s="3" t="s">
        <v>61</v>
      </c>
      <c r="B35" s="3" t="s">
        <v>62</v>
      </c>
      <c r="C35" s="4" t="n">
        <v>12</v>
      </c>
      <c r="D35" s="3" t="s">
        <v>20</v>
      </c>
      <c r="E35" s="3" t="s">
        <v>63</v>
      </c>
      <c r="F35" s="5" t="n">
        <v>15000</v>
      </c>
      <c r="G35" s="5"/>
    </row>
    <row r="36" customFormat="false" ht="13.8" hidden="false" customHeight="false" outlineLevel="0" collapsed="false">
      <c r="A36" s="3" t="s">
        <v>61</v>
      </c>
      <c r="B36" s="3" t="s">
        <v>62</v>
      </c>
      <c r="C36" s="4" t="n">
        <v>52</v>
      </c>
      <c r="D36" s="3" t="s">
        <v>14</v>
      </c>
      <c r="E36" s="3" t="s">
        <v>63</v>
      </c>
      <c r="F36" s="5"/>
      <c r="G36" s="5" t="n">
        <v>15000</v>
      </c>
    </row>
    <row r="37" customFormat="false" ht="13.8" hidden="false" customHeight="false" outlineLevel="0" collapsed="false">
      <c r="A37" s="3" t="s">
        <v>64</v>
      </c>
      <c r="B37" s="3" t="s">
        <v>65</v>
      </c>
      <c r="C37" s="4" t="n">
        <v>681</v>
      </c>
      <c r="D37" s="3" t="s">
        <v>66</v>
      </c>
      <c r="E37" s="3" t="s">
        <v>67</v>
      </c>
      <c r="F37" s="5" t="n">
        <v>20000</v>
      </c>
      <c r="G37" s="5"/>
    </row>
    <row r="38" customFormat="false" ht="13.8" hidden="false" customHeight="false" outlineLevel="0" collapsed="false">
      <c r="A38" s="3" t="s">
        <v>64</v>
      </c>
      <c r="B38" s="3" t="s">
        <v>65</v>
      </c>
      <c r="C38" s="4" t="n">
        <v>28</v>
      </c>
      <c r="D38" s="3" t="s">
        <v>15</v>
      </c>
      <c r="E38" s="3" t="s">
        <v>67</v>
      </c>
      <c r="F38" s="5"/>
      <c r="G38" s="5" t="n">
        <v>20000</v>
      </c>
    </row>
    <row r="39" customFormat="false" ht="13.8" hidden="false" customHeight="false" outlineLevel="0" collapsed="false">
      <c r="A39" s="3" t="s">
        <v>64</v>
      </c>
      <c r="B39" s="3" t="s">
        <v>68</v>
      </c>
      <c r="C39" s="4" t="n">
        <v>6031</v>
      </c>
      <c r="D39" s="3" t="s">
        <v>69</v>
      </c>
      <c r="E39" s="3" t="s">
        <v>70</v>
      </c>
      <c r="F39" s="5" t="n">
        <v>10000</v>
      </c>
      <c r="G39" s="5"/>
    </row>
    <row r="40" customFormat="false" ht="13.8" hidden="false" customHeight="false" outlineLevel="0" collapsed="false">
      <c r="A40" s="3" t="s">
        <v>64</v>
      </c>
      <c r="B40" s="3" t="s">
        <v>68</v>
      </c>
      <c r="C40" s="4" t="n">
        <v>31</v>
      </c>
      <c r="D40" s="3" t="s">
        <v>12</v>
      </c>
      <c r="E40" s="3" t="s">
        <v>70</v>
      </c>
      <c r="F40" s="5"/>
      <c r="G40" s="5" t="n">
        <v>10000</v>
      </c>
    </row>
    <row r="41" customFormat="false" ht="13.8" hidden="false" customHeight="false" outlineLevel="0" collapsed="false">
      <c r="A41" s="3"/>
      <c r="B41" s="3"/>
      <c r="C41" s="3"/>
      <c r="D41" s="3"/>
      <c r="E41" s="6" t="s">
        <v>71</v>
      </c>
      <c r="F41" s="7" t="n">
        <f aca="false">SUM(F3:F40)</f>
        <v>1444000</v>
      </c>
      <c r="G41" s="7" t="n">
        <f aca="false">SUM(G3:G40)</f>
        <v>1444000</v>
      </c>
    </row>
    <row r="42" customFormat="false" ht="13.8" hidden="false" customHeight="false" outlineLevel="0" collapsed="false">
      <c r="A42" s="3"/>
      <c r="B42" s="3"/>
      <c r="C42" s="3"/>
      <c r="D42" s="3"/>
      <c r="E42" s="6" t="s">
        <v>72</v>
      </c>
      <c r="F42" s="6" t="str">
        <f aca="false">IF(F41=G41,"Balanced","Not balanced")</f>
        <v>Balanced</v>
      </c>
      <c r="G42" s="3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40.86"/>
    <col collapsed="false" customWidth="true" hidden="false" outlineLevel="0" max="4" min="3" style="0" width="15.89"/>
    <col collapsed="false" customWidth="true" hidden="false" outlineLevel="0" max="6" min="5" style="0" width="17.03"/>
  </cols>
  <sheetData>
    <row r="1" customFormat="false" ht="17.35" hidden="false" customHeight="false" outlineLevel="0" collapsed="false">
      <c r="A1" s="1" t="s">
        <v>73</v>
      </c>
      <c r="B1" s="1"/>
      <c r="C1" s="1"/>
      <c r="D1" s="1"/>
      <c r="E1" s="1"/>
      <c r="F1" s="1"/>
    </row>
    <row r="2" customFormat="false" ht="13.8" hidden="false" customHeight="false" outlineLevel="0" collapsed="false">
      <c r="A2" s="2" t="s">
        <v>74</v>
      </c>
      <c r="B2" s="2" t="s">
        <v>4</v>
      </c>
      <c r="C2" s="2" t="s">
        <v>75</v>
      </c>
      <c r="D2" s="2" t="s">
        <v>76</v>
      </c>
      <c r="E2" s="2" t="s">
        <v>77</v>
      </c>
      <c r="F2" s="2" t="s">
        <v>78</v>
      </c>
    </row>
    <row r="3" customFormat="false" ht="13.8" hidden="false" customHeight="false" outlineLevel="0" collapsed="false">
      <c r="A3" s="4" t="n">
        <v>101</v>
      </c>
      <c r="B3" s="3" t="s">
        <v>79</v>
      </c>
      <c r="C3" s="5" t="e">
        <f aca="false">SUMIF(journal!$c:$c,A3,journal!$f:$f)</f>
        <v>#NAME?</v>
      </c>
      <c r="D3" s="5" t="e">
        <f aca="false">SUMIF(journal!$c:$c,A3,journal!$g:$g)</f>
        <v>#NAME?</v>
      </c>
      <c r="E3" s="5" t="e">
        <f aca="false">IF(C3-D3&gt;0,C3-D3,0)</f>
        <v>#NAME?</v>
      </c>
      <c r="F3" s="5" t="e">
        <f aca="false">IF(D3-C3&gt;0,D3-C3,0)</f>
        <v>#NAME?</v>
      </c>
    </row>
    <row r="4" customFormat="false" ht="13.8" hidden="false" customHeight="false" outlineLevel="0" collapsed="false">
      <c r="A4" s="4" t="n">
        <v>11</v>
      </c>
      <c r="B4" s="3" t="s">
        <v>19</v>
      </c>
      <c r="C4" s="5" t="e">
        <f aca="false">SUMIF(journal!$c:$c,A4,journal!$f:$f)</f>
        <v>#NAME?</v>
      </c>
      <c r="D4" s="5" t="e">
        <f aca="false">SUMIF(journal!$c:$c,A4,journal!$g:$g)</f>
        <v>#NAME?</v>
      </c>
      <c r="E4" s="5" t="e">
        <f aca="false">IF(C4-D4&gt;0,C4-D4,0)</f>
        <v>#NAME?</v>
      </c>
      <c r="F4" s="5" t="e">
        <f aca="false">IF(D4-C4&gt;0,D4-C4,0)</f>
        <v>#NAME?</v>
      </c>
    </row>
    <row r="5" customFormat="false" ht="13.8" hidden="false" customHeight="false" outlineLevel="0" collapsed="false">
      <c r="A5" s="4" t="n">
        <v>12</v>
      </c>
      <c r="B5" s="3" t="s">
        <v>80</v>
      </c>
      <c r="C5" s="5" t="e">
        <f aca="false">SUMIF(journal!$c:$c,A5,journal!$f:$f)</f>
        <v>#NAME?</v>
      </c>
      <c r="D5" s="5" t="e">
        <f aca="false">SUMIF(journal!$c:$c,A5,journal!$g:$g)</f>
        <v>#NAME?</v>
      </c>
      <c r="E5" s="5" t="e">
        <f aca="false">IF(C5-D5&gt;0,C5-D5,0)</f>
        <v>#NAME?</v>
      </c>
      <c r="F5" s="5" t="e">
        <f aca="false">IF(D5-C5&gt;0,D5-C5,0)</f>
        <v>#NAME?</v>
      </c>
    </row>
    <row r="6" customFormat="false" ht="13.8" hidden="false" customHeight="false" outlineLevel="0" collapsed="false">
      <c r="A6" s="4" t="n">
        <v>16</v>
      </c>
      <c r="B6" s="3" t="s">
        <v>81</v>
      </c>
      <c r="C6" s="5" t="e">
        <f aca="false">SUMIF(journal!$c:$c,A6,journal!$f:$f)</f>
        <v>#NAME?</v>
      </c>
      <c r="D6" s="5" t="e">
        <f aca="false">SUMIF(journal!$c:$c,A6,journal!$g:$g)</f>
        <v>#NAME?</v>
      </c>
      <c r="E6" s="5" t="e">
        <f aca="false">IF(C6-D6&gt;0,C6-D6,0)</f>
        <v>#NAME?</v>
      </c>
      <c r="F6" s="5" t="e">
        <f aca="false">IF(D6-C6&gt;0,D6-C6,0)</f>
        <v>#NAME?</v>
      </c>
    </row>
    <row r="7" customFormat="false" ht="13.8" hidden="false" customHeight="false" outlineLevel="0" collapsed="false">
      <c r="A7" s="4" t="n">
        <v>24</v>
      </c>
      <c r="B7" s="3" t="s">
        <v>82</v>
      </c>
      <c r="C7" s="5" t="e">
        <f aca="false">SUMIF(journal!$c:$c,A7,journal!$f:$f)</f>
        <v>#NAME?</v>
      </c>
      <c r="D7" s="5" t="e">
        <f aca="false">SUMIF(journal!$c:$c,A7,journal!$g:$g)</f>
        <v>#NAME?</v>
      </c>
      <c r="E7" s="5" t="e">
        <f aca="false">IF(C7-D7&gt;0,C7-D7,0)</f>
        <v>#NAME?</v>
      </c>
      <c r="F7" s="5" t="e">
        <f aca="false">IF(D7-C7&gt;0,D7-C7,0)</f>
        <v>#NAME?</v>
      </c>
    </row>
    <row r="8" customFormat="false" ht="13.8" hidden="false" customHeight="false" outlineLevel="0" collapsed="false">
      <c r="A8" s="4" t="n">
        <v>28</v>
      </c>
      <c r="B8" s="3" t="s">
        <v>83</v>
      </c>
      <c r="C8" s="5" t="e">
        <f aca="false">SUMIF(journal!$c:$c,A8,journal!$f:$f)</f>
        <v>#NAME?</v>
      </c>
      <c r="D8" s="5" t="e">
        <f aca="false">SUMIF(journal!$c:$c,A8,journal!$g:$g)</f>
        <v>#NAME?</v>
      </c>
      <c r="E8" s="5" t="e">
        <f aca="false">IF(C8-D8&gt;0,C8-D8,0)</f>
        <v>#NAME?</v>
      </c>
      <c r="F8" s="5" t="e">
        <f aca="false">IF(D8-C8&gt;0,D8-C8,0)</f>
        <v>#NAME?</v>
      </c>
    </row>
    <row r="9" customFormat="false" ht="13.8" hidden="false" customHeight="false" outlineLevel="0" collapsed="false">
      <c r="A9" s="4" t="n">
        <v>31</v>
      </c>
      <c r="B9" s="3" t="s">
        <v>84</v>
      </c>
      <c r="C9" s="5" t="e">
        <f aca="false">SUMIF(journal!$c:$c,A9,journal!$f:$f)</f>
        <v>#NAME?</v>
      </c>
      <c r="D9" s="5" t="e">
        <f aca="false">SUMIF(journal!$c:$c,A9,journal!$g:$g)</f>
        <v>#NAME?</v>
      </c>
      <c r="E9" s="5" t="e">
        <f aca="false">IF(C9-D9&gt;0,C9-D9,0)</f>
        <v>#NAME?</v>
      </c>
      <c r="F9" s="5" t="e">
        <f aca="false">IF(D9-C9&gt;0,D9-C9,0)</f>
        <v>#NAME?</v>
      </c>
    </row>
    <row r="10" customFormat="false" ht="13.8" hidden="false" customHeight="false" outlineLevel="0" collapsed="false">
      <c r="A10" s="4" t="n">
        <v>401</v>
      </c>
      <c r="B10" s="3" t="s">
        <v>85</v>
      </c>
      <c r="C10" s="5" t="e">
        <f aca="false">SUMIF(journal!$c:$c,A10,journal!$f:$f)</f>
        <v>#NAME?</v>
      </c>
      <c r="D10" s="5" t="e">
        <f aca="false">SUMIF(journal!$c:$c,A10,journal!$g:$g)</f>
        <v>#NAME?</v>
      </c>
      <c r="E10" s="5" t="e">
        <f aca="false">IF(C10-D10&gt;0,C10-D10,0)</f>
        <v>#NAME?</v>
      </c>
      <c r="F10" s="5" t="e">
        <f aca="false">IF(D10-C10&gt;0,D10-C10,0)</f>
        <v>#NAME?</v>
      </c>
    </row>
    <row r="11" customFormat="false" ht="13.8" hidden="false" customHeight="false" outlineLevel="0" collapsed="false">
      <c r="A11" s="4" t="n">
        <v>411</v>
      </c>
      <c r="B11" s="3" t="s">
        <v>86</v>
      </c>
      <c r="C11" s="5" t="e">
        <f aca="false">SUMIF(journal!$c:$c,A11,journal!$f:$f)</f>
        <v>#NAME?</v>
      </c>
      <c r="D11" s="5" t="e">
        <f aca="false">SUMIF(journal!$c:$c,A11,journal!$g:$g)</f>
        <v>#NAME?</v>
      </c>
      <c r="E11" s="5" t="e">
        <f aca="false">IF(C11-D11&gt;0,C11-D11,0)</f>
        <v>#NAME?</v>
      </c>
      <c r="F11" s="5" t="e">
        <f aca="false">IF(D11-C11&gt;0,D11-C11,0)</f>
        <v>#NAME?</v>
      </c>
    </row>
    <row r="12" customFormat="false" ht="13.8" hidden="false" customHeight="false" outlineLevel="0" collapsed="false">
      <c r="A12" s="4" t="n">
        <v>44</v>
      </c>
      <c r="B12" s="3" t="s">
        <v>87</v>
      </c>
      <c r="C12" s="5" t="e">
        <f aca="false">SUMIF(journal!$c:$c,A12,journal!$f:$f)</f>
        <v>#NAME?</v>
      </c>
      <c r="D12" s="5" t="e">
        <f aca="false">SUMIF(journal!$c:$c,A12,journal!$g:$g)</f>
        <v>#NAME?</v>
      </c>
      <c r="E12" s="5" t="e">
        <f aca="false">IF(C12-D12&gt;0,C12-D12,0)</f>
        <v>#NAME?</v>
      </c>
      <c r="F12" s="5" t="e">
        <f aca="false">IF(D12-C12&gt;0,D12-C12,0)</f>
        <v>#NAME?</v>
      </c>
    </row>
    <row r="13" customFormat="false" ht="13.8" hidden="false" customHeight="false" outlineLevel="0" collapsed="false">
      <c r="A13" s="4" t="n">
        <v>52</v>
      </c>
      <c r="B13" s="3" t="s">
        <v>88</v>
      </c>
      <c r="C13" s="5" t="e">
        <f aca="false">SUMIF(journal!$c:$c,A13,journal!$f:$f)</f>
        <v>#NAME?</v>
      </c>
      <c r="D13" s="5" t="e">
        <f aca="false">SUMIF(journal!$c:$c,A13,journal!$g:$g)</f>
        <v>#NAME?</v>
      </c>
      <c r="E13" s="5" t="e">
        <f aca="false">IF(C13-D13&gt;0,C13-D13,0)</f>
        <v>#NAME?</v>
      </c>
      <c r="F13" s="5" t="e">
        <f aca="false">IF(D13-C13&gt;0,D13-C13,0)</f>
        <v>#NAME?</v>
      </c>
    </row>
    <row r="14" customFormat="false" ht="13.8" hidden="false" customHeight="false" outlineLevel="0" collapsed="false">
      <c r="A14" s="4" t="n">
        <v>601</v>
      </c>
      <c r="B14" s="3" t="s">
        <v>89</v>
      </c>
      <c r="C14" s="5" t="e">
        <f aca="false">SUMIF(journal!$c:$c,A14,journal!$f:$f)</f>
        <v>#NAME?</v>
      </c>
      <c r="D14" s="5" t="e">
        <f aca="false">SUMIF(journal!$c:$c,A14,journal!$g:$g)</f>
        <v>#NAME?</v>
      </c>
      <c r="E14" s="5" t="e">
        <f aca="false">IF(C14-D14&gt;0,C14-D14,0)</f>
        <v>#NAME?</v>
      </c>
      <c r="F14" s="5" t="e">
        <f aca="false">IF(D14-C14&gt;0,D14-C14,0)</f>
        <v>#NAME?</v>
      </c>
    </row>
    <row r="15" customFormat="false" ht="13.8" hidden="false" customHeight="false" outlineLevel="0" collapsed="false">
      <c r="A15" s="4" t="n">
        <v>6031</v>
      </c>
      <c r="B15" s="3" t="s">
        <v>90</v>
      </c>
      <c r="C15" s="5" t="e">
        <f aca="false">SUMIF(journal!$c:$c,A15,journal!$f:$f)</f>
        <v>#NAME?</v>
      </c>
      <c r="D15" s="5" t="e">
        <f aca="false">SUMIF(journal!$c:$c,A15,journal!$g:$g)</f>
        <v>#NAME?</v>
      </c>
      <c r="E15" s="5" t="e">
        <f aca="false">IF(C15-D15&gt;0,C15-D15,0)</f>
        <v>#NAME?</v>
      </c>
      <c r="F15" s="5" t="e">
        <f aca="false">IF(D15-C15&gt;0,D15-C15,0)</f>
        <v>#NAME?</v>
      </c>
    </row>
    <row r="16" customFormat="false" ht="13.8" hidden="false" customHeight="false" outlineLevel="0" collapsed="false">
      <c r="A16" s="4" t="n">
        <v>62</v>
      </c>
      <c r="B16" s="3" t="s">
        <v>91</v>
      </c>
      <c r="C16" s="5" t="e">
        <f aca="false">SUMIF(journal!$c:$c,A16,journal!$f:$f)</f>
        <v>#NAME?</v>
      </c>
      <c r="D16" s="5" t="e">
        <f aca="false">SUMIF(journal!$c:$c,A16,journal!$g:$g)</f>
        <v>#NAME?</v>
      </c>
      <c r="E16" s="5" t="e">
        <f aca="false">IF(C16-D16&gt;0,C16-D16,0)</f>
        <v>#NAME?</v>
      </c>
      <c r="F16" s="5" t="e">
        <f aca="false">IF(D16-C16&gt;0,D16-C16,0)</f>
        <v>#NAME?</v>
      </c>
    </row>
    <row r="17" customFormat="false" ht="13.8" hidden="false" customHeight="false" outlineLevel="0" collapsed="false">
      <c r="A17" s="4" t="n">
        <v>66</v>
      </c>
      <c r="B17" s="3" t="s">
        <v>92</v>
      </c>
      <c r="C17" s="5" t="e">
        <f aca="false">SUMIF(journal!$c:$c,A17,journal!$f:$f)</f>
        <v>#NAME?</v>
      </c>
      <c r="D17" s="5" t="e">
        <f aca="false">SUMIF(journal!$c:$c,A17,journal!$g:$g)</f>
        <v>#NAME?</v>
      </c>
      <c r="E17" s="5" t="e">
        <f aca="false">IF(C17-D17&gt;0,C17-D17,0)</f>
        <v>#NAME?</v>
      </c>
      <c r="F17" s="5" t="e">
        <f aca="false">IF(D17-C17&gt;0,D17-C17,0)</f>
        <v>#NAME?</v>
      </c>
    </row>
    <row r="18" customFormat="false" ht="13.8" hidden="false" customHeight="false" outlineLevel="0" collapsed="false">
      <c r="A18" s="4" t="n">
        <v>671</v>
      </c>
      <c r="B18" s="3" t="s">
        <v>93</v>
      </c>
      <c r="C18" s="5" t="e">
        <f aca="false">SUMIF(journal!$c:$c,A18,journal!$f:$f)</f>
        <v>#NAME?</v>
      </c>
      <c r="D18" s="5" t="e">
        <f aca="false">SUMIF(journal!$c:$c,A18,journal!$g:$g)</f>
        <v>#NAME?</v>
      </c>
      <c r="E18" s="5" t="e">
        <f aca="false">IF(C18-D18&gt;0,C18-D18,0)</f>
        <v>#NAME?</v>
      </c>
      <c r="F18" s="5" t="e">
        <f aca="false">IF(D18-C18&gt;0,D18-C18,0)</f>
        <v>#NAME?</v>
      </c>
    </row>
    <row r="19" customFormat="false" ht="13.8" hidden="false" customHeight="false" outlineLevel="0" collapsed="false">
      <c r="A19" s="4" t="n">
        <v>681</v>
      </c>
      <c r="B19" s="3" t="s">
        <v>94</v>
      </c>
      <c r="C19" s="5" t="e">
        <f aca="false">SUMIF(journal!$c:$c,A19,journal!$f:$f)</f>
        <v>#NAME?</v>
      </c>
      <c r="D19" s="5" t="e">
        <f aca="false">SUMIF(journal!$c:$c,A19,journal!$g:$g)</f>
        <v>#NAME?</v>
      </c>
      <c r="E19" s="5" t="e">
        <f aca="false">IF(C19-D19&gt;0,C19-D19,0)</f>
        <v>#NAME?</v>
      </c>
      <c r="F19" s="5" t="e">
        <f aca="false">IF(D19-C19&gt;0,D19-C19,0)</f>
        <v>#NAME?</v>
      </c>
    </row>
    <row r="20" customFormat="false" ht="13.8" hidden="false" customHeight="false" outlineLevel="0" collapsed="false">
      <c r="A20" s="4" t="n">
        <v>701</v>
      </c>
      <c r="B20" s="3" t="s">
        <v>95</v>
      </c>
      <c r="C20" s="5" t="e">
        <f aca="false">SUMIF(journal!$c:$c,A20,journal!$f:$f)</f>
        <v>#NAME?</v>
      </c>
      <c r="D20" s="5" t="e">
        <f aca="false">SUMIF(journal!$c:$c,A20,journal!$g:$g)</f>
        <v>#NAME?</v>
      </c>
      <c r="E20" s="5" t="e">
        <f aca="false">IF(C20-D20&gt;0,C20-D20,0)</f>
        <v>#NAME?</v>
      </c>
      <c r="F20" s="5" t="e">
        <f aca="false">IF(D20-C20&gt;0,D20-C20,0)</f>
        <v>#NAME?</v>
      </c>
    </row>
    <row r="21" customFormat="false" ht="13.8" hidden="false" customHeight="false" outlineLevel="0" collapsed="false">
      <c r="A21" s="4" t="n">
        <v>891</v>
      </c>
      <c r="B21" s="3" t="s">
        <v>96</v>
      </c>
      <c r="C21" s="5" t="e">
        <f aca="false">SUMIF(journal!$c:$c,A21,journal!$f:$f)</f>
        <v>#NAME?</v>
      </c>
      <c r="D21" s="5" t="e">
        <f aca="false">SUMIF(journal!$c:$c,A21,journal!$g:$g)</f>
        <v>#NAME?</v>
      </c>
      <c r="E21" s="5" t="e">
        <f aca="false">IF(C21-D21&gt;0,C21-D21,0)</f>
        <v>#NAME?</v>
      </c>
      <c r="F21" s="5" t="e">
        <f aca="false">IF(D21-C21&gt;0,D21-C21,0)</f>
        <v>#NAME?</v>
      </c>
    </row>
    <row r="22" customFormat="false" ht="13.8" hidden="false" customHeight="false" outlineLevel="0" collapsed="false">
      <c r="A22" s="3"/>
      <c r="B22" s="6" t="s">
        <v>71</v>
      </c>
      <c r="C22" s="7" t="e">
        <f aca="false">SUM(C3:C21)</f>
        <v>#NAME?</v>
      </c>
      <c r="D22" s="7" t="e">
        <f aca="false">SUM(D3:D21)</f>
        <v>#NAME?</v>
      </c>
      <c r="E22" s="7" t="e">
        <f aca="false">SUM(E3:E21)</f>
        <v>#NAME?</v>
      </c>
      <c r="F22" s="7" t="e">
        <f aca="false">SUM(F3:F21)</f>
        <v>#NAME?</v>
      </c>
    </row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52.22"/>
    <col collapsed="false" customWidth="true" hidden="false" outlineLevel="0" max="2" min="2" style="0" width="20.43"/>
  </cols>
  <sheetData>
    <row r="1" customFormat="false" ht="17.35" hidden="false" customHeight="false" outlineLevel="0" collapsed="false">
      <c r="A1" s="1" t="s">
        <v>97</v>
      </c>
      <c r="B1" s="1"/>
    </row>
    <row r="2" customFormat="false" ht="13.8" hidden="false" customHeight="false" outlineLevel="0" collapsed="false">
      <c r="A2" s="2" t="s">
        <v>98</v>
      </c>
      <c r="B2" s="2" t="s">
        <v>99</v>
      </c>
    </row>
    <row r="3" customFormat="false" ht="13.8" hidden="false" customHeight="false" outlineLevel="0" collapsed="false">
      <c r="A3" s="3" t="s">
        <v>95</v>
      </c>
      <c r="B3" s="5" t="e">
        <f aca="false">balance!f20</f>
        <v>#NAME?</v>
      </c>
    </row>
    <row r="4" customFormat="false" ht="13.8" hidden="false" customHeight="false" outlineLevel="0" collapsed="false">
      <c r="A4" s="3" t="s">
        <v>89</v>
      </c>
      <c r="B4" s="5" t="e">
        <f aca="false">-balance!e14</f>
        <v>#NAME?</v>
      </c>
    </row>
    <row r="5" customFormat="false" ht="13.8" hidden="false" customHeight="false" outlineLevel="0" collapsed="false">
      <c r="A5" s="3" t="s">
        <v>90</v>
      </c>
      <c r="B5" s="5" t="e">
        <f aca="false">-(balance!e15-balance!f15)</f>
        <v>#NAME?</v>
      </c>
    </row>
    <row r="6" customFormat="false" ht="13.8" hidden="false" customHeight="false" outlineLevel="0" collapsed="false">
      <c r="A6" s="6" t="s">
        <v>100</v>
      </c>
      <c r="B6" s="7" t="e">
        <f aca="false">B3+B4+B5</f>
        <v>#NAME?</v>
      </c>
    </row>
    <row r="7" customFormat="false" ht="13.8" hidden="false" customHeight="false" outlineLevel="0" collapsed="false">
      <c r="A7" s="3" t="s">
        <v>91</v>
      </c>
      <c r="B7" s="5" t="e">
        <f aca="false">-balance!e16</f>
        <v>#NAME?</v>
      </c>
    </row>
    <row r="8" customFormat="false" ht="13.8" hidden="false" customHeight="false" outlineLevel="0" collapsed="false">
      <c r="A8" s="6" t="s">
        <v>101</v>
      </c>
      <c r="B8" s="7" t="e">
        <f aca="false">B6+B7</f>
        <v>#NAME?</v>
      </c>
    </row>
    <row r="9" customFormat="false" ht="13.8" hidden="false" customHeight="false" outlineLevel="0" collapsed="false">
      <c r="A9" s="3" t="s">
        <v>92</v>
      </c>
      <c r="B9" s="5" t="e">
        <f aca="false">-balance!e17</f>
        <v>#NAME?</v>
      </c>
    </row>
    <row r="10" customFormat="false" ht="13.8" hidden="false" customHeight="false" outlineLevel="0" collapsed="false">
      <c r="A10" s="6" t="s">
        <v>102</v>
      </c>
      <c r="B10" s="7" t="e">
        <f aca="false">B8+B9</f>
        <v>#NAME?</v>
      </c>
    </row>
    <row r="11" customFormat="false" ht="13.8" hidden="false" customHeight="false" outlineLevel="0" collapsed="false">
      <c r="A11" s="3" t="s">
        <v>94</v>
      </c>
      <c r="B11" s="5" t="e">
        <f aca="false">-balance!e19</f>
        <v>#NAME?</v>
      </c>
    </row>
    <row r="12" customFormat="false" ht="13.8" hidden="false" customHeight="false" outlineLevel="0" collapsed="false">
      <c r="A12" s="6" t="s">
        <v>103</v>
      </c>
      <c r="B12" s="7" t="e">
        <f aca="false">B10+B11</f>
        <v>#NAME?</v>
      </c>
    </row>
    <row r="13" customFormat="false" ht="13.8" hidden="false" customHeight="false" outlineLevel="0" collapsed="false">
      <c r="A13" s="3" t="s">
        <v>104</v>
      </c>
      <c r="B13" s="5" t="e">
        <f aca="false">-balance!e18</f>
        <v>#NAME?</v>
      </c>
    </row>
    <row r="14" customFormat="false" ht="13.8" hidden="false" customHeight="false" outlineLevel="0" collapsed="false">
      <c r="A14" s="6" t="s">
        <v>105</v>
      </c>
      <c r="B14" s="7" t="e">
        <f aca="false">B13</f>
        <v>#NAME?</v>
      </c>
    </row>
    <row r="15" customFormat="false" ht="13.8" hidden="false" customHeight="false" outlineLevel="0" collapsed="false">
      <c r="A15" s="6" t="s">
        <v>106</v>
      </c>
      <c r="B15" s="7" t="e">
        <f aca="false">B12+B14</f>
        <v>#NAME?</v>
      </c>
    </row>
    <row r="16" customFormat="false" ht="13.8" hidden="false" customHeight="false" outlineLevel="0" collapsed="false">
      <c r="A16" s="3" t="s">
        <v>107</v>
      </c>
      <c r="B16" s="5" t="n">
        <f aca="false">0</f>
        <v>0</v>
      </c>
    </row>
    <row r="17" customFormat="false" ht="13.8" hidden="false" customHeight="false" outlineLevel="0" collapsed="false">
      <c r="A17" s="6" t="s">
        <v>108</v>
      </c>
      <c r="B17" s="7" t="e">
        <f aca="false">B15+B16</f>
        <v>#NAME?</v>
      </c>
    </row>
    <row r="18" customFormat="false" ht="13.8" hidden="false" customHeight="false" outlineLevel="0" collapsed="false">
      <c r="A18" s="3" t="s">
        <v>96</v>
      </c>
      <c r="B18" s="5" t="e">
        <f aca="false">-balance!e21</f>
        <v>#NAME?</v>
      </c>
    </row>
    <row r="19" customFormat="false" ht="13.8" hidden="false" customHeight="false" outlineLevel="0" collapsed="false">
      <c r="A19" s="6" t="s">
        <v>109</v>
      </c>
      <c r="B19" s="7" t="e">
        <f aca="false">B17+B18</f>
        <v>#NAME?</v>
      </c>
    </row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4" min="2" style="0" width="15.89"/>
  </cols>
  <sheetData>
    <row r="1" customFormat="false" ht="17.35" hidden="false" customHeight="false" outlineLevel="0" collapsed="false">
      <c r="A1" s="1" t="s">
        <v>110</v>
      </c>
      <c r="B1" s="1"/>
      <c r="C1" s="1"/>
      <c r="D1" s="1"/>
    </row>
    <row r="2" customFormat="false" ht="13.8" hidden="false" customHeight="false" outlineLevel="0" collapsed="false">
      <c r="A2" s="2" t="s">
        <v>111</v>
      </c>
      <c r="B2" s="2" t="s">
        <v>112</v>
      </c>
      <c r="C2" s="2" t="s">
        <v>113</v>
      </c>
      <c r="D2" s="2" t="s">
        <v>114</v>
      </c>
    </row>
    <row r="3" customFormat="false" ht="13.8" hidden="false" customHeight="false" outlineLevel="0" collapsed="false">
      <c r="A3" s="6" t="s">
        <v>115</v>
      </c>
      <c r="B3" s="6"/>
      <c r="C3" s="6"/>
      <c r="D3" s="6"/>
    </row>
    <row r="4" customFormat="false" ht="13.8" hidden="false" customHeight="false" outlineLevel="0" collapsed="false">
      <c r="A4" s="3" t="s">
        <v>116</v>
      </c>
      <c r="B4" s="5" t="e">
        <f aca="false">balance!e7</f>
        <v>#NAME?</v>
      </c>
      <c r="C4" s="5" t="e">
        <f aca="false">balance!f8</f>
        <v>#NAME?</v>
      </c>
      <c r="D4" s="5" t="e">
        <f aca="false">B4-C4</f>
        <v>#NAME?</v>
      </c>
    </row>
    <row r="5" customFormat="false" ht="13.8" hidden="false" customHeight="false" outlineLevel="0" collapsed="false">
      <c r="A5" s="6" t="s">
        <v>117</v>
      </c>
      <c r="B5" s="7"/>
      <c r="C5" s="7"/>
      <c r="D5" s="7" t="e">
        <f aca="false">D4</f>
        <v>#NAME?</v>
      </c>
    </row>
    <row r="6" customFormat="false" ht="13.8" hidden="false" customHeight="false" outlineLevel="0" collapsed="false">
      <c r="A6" s="6" t="s">
        <v>118</v>
      </c>
      <c r="B6" s="6"/>
      <c r="C6" s="6"/>
      <c r="D6" s="6"/>
    </row>
    <row r="7" customFormat="false" ht="13.8" hidden="false" customHeight="false" outlineLevel="0" collapsed="false">
      <c r="A7" s="3" t="s">
        <v>84</v>
      </c>
      <c r="B7" s="5" t="e">
        <f aca="false">balance!e9</f>
        <v>#NAME?</v>
      </c>
      <c r="C7" s="5" t="n">
        <f aca="false">0</f>
        <v>0</v>
      </c>
      <c r="D7" s="5" t="e">
        <f aca="false">B7-C7</f>
        <v>#NAME?</v>
      </c>
    </row>
    <row r="8" customFormat="false" ht="13.8" hidden="false" customHeight="false" outlineLevel="0" collapsed="false">
      <c r="A8" s="3" t="s">
        <v>86</v>
      </c>
      <c r="B8" s="5" t="e">
        <f aca="false">balance!e11</f>
        <v>#NAME?</v>
      </c>
      <c r="C8" s="5" t="n">
        <f aca="false">0</f>
        <v>0</v>
      </c>
      <c r="D8" s="5" t="e">
        <f aca="false">B8-C8</f>
        <v>#NAME?</v>
      </c>
    </row>
    <row r="9" customFormat="false" ht="13.8" hidden="false" customHeight="false" outlineLevel="0" collapsed="false">
      <c r="A9" s="6" t="s">
        <v>119</v>
      </c>
      <c r="B9" s="7"/>
      <c r="C9" s="7"/>
      <c r="D9" s="7" t="e">
        <f aca="false">D7+D8</f>
        <v>#NAME?</v>
      </c>
    </row>
    <row r="10" customFormat="false" ht="13.8" hidden="false" customHeight="false" outlineLevel="0" collapsed="false">
      <c r="A10" s="6" t="s">
        <v>120</v>
      </c>
      <c r="B10" s="6"/>
      <c r="C10" s="6"/>
      <c r="D10" s="6"/>
    </row>
    <row r="11" customFormat="false" ht="13.8" hidden="false" customHeight="false" outlineLevel="0" collapsed="false">
      <c r="A11" s="3" t="s">
        <v>88</v>
      </c>
      <c r="B11" s="5" t="e">
        <f aca="false">balance!e13</f>
        <v>#NAME?</v>
      </c>
      <c r="C11" s="5" t="n">
        <f aca="false">0</f>
        <v>0</v>
      </c>
      <c r="D11" s="5" t="e">
        <f aca="false">B11-C11</f>
        <v>#NAME?</v>
      </c>
    </row>
    <row r="12" customFormat="false" ht="13.8" hidden="false" customHeight="false" outlineLevel="0" collapsed="false">
      <c r="A12" s="6" t="s">
        <v>121</v>
      </c>
      <c r="B12" s="7"/>
      <c r="C12" s="7"/>
      <c r="D12" s="7" t="e">
        <f aca="false">D11</f>
        <v>#NAME?</v>
      </c>
    </row>
    <row r="13" customFormat="false" ht="13.8" hidden="false" customHeight="false" outlineLevel="0" collapsed="false">
      <c r="A13" s="6" t="s">
        <v>122</v>
      </c>
      <c r="B13" s="7" t="e">
        <f aca="false">B4+B7+B8+B11</f>
        <v>#NAME?</v>
      </c>
      <c r="C13" s="7" t="e">
        <f aca="false">C4</f>
        <v>#NAME?</v>
      </c>
      <c r="D13" s="7" t="e">
        <f aca="false">D5+D9+D12</f>
        <v>#NAME?</v>
      </c>
    </row>
    <row r="14" customFormat="false" ht="13.8" hidden="false" customHeight="false" outlineLevel="0" collapsed="false">
      <c r="A14" s="3"/>
      <c r="B14" s="3"/>
      <c r="C14" s="3"/>
      <c r="D14" s="3"/>
    </row>
    <row r="15" customFormat="false" ht="13.8" hidden="false" customHeight="false" outlineLevel="0" collapsed="false">
      <c r="A15" s="2" t="s">
        <v>123</v>
      </c>
      <c r="B15" s="2"/>
      <c r="C15" s="2"/>
      <c r="D15" s="2" t="s">
        <v>114</v>
      </c>
    </row>
    <row r="16" customFormat="false" ht="13.8" hidden="false" customHeight="false" outlineLevel="0" collapsed="false">
      <c r="A16" s="6" t="s">
        <v>124</v>
      </c>
      <c r="B16" s="6"/>
      <c r="C16" s="6"/>
      <c r="D16" s="6"/>
    </row>
    <row r="17" customFormat="false" ht="13.8" hidden="false" customHeight="false" outlineLevel="0" collapsed="false">
      <c r="A17" s="3" t="s">
        <v>79</v>
      </c>
      <c r="B17" s="5"/>
      <c r="C17" s="5"/>
      <c r="D17" s="5" t="e">
        <f aca="false">balance!f3</f>
        <v>#NAME?</v>
      </c>
    </row>
    <row r="18" customFormat="false" ht="13.8" hidden="false" customHeight="false" outlineLevel="0" collapsed="false">
      <c r="A18" s="3" t="s">
        <v>19</v>
      </c>
      <c r="B18" s="5"/>
      <c r="C18" s="5"/>
      <c r="D18" s="5" t="e">
        <f aca="false">balance!f4</f>
        <v>#NAME?</v>
      </c>
    </row>
    <row r="19" customFormat="false" ht="13.8" hidden="false" customHeight="false" outlineLevel="0" collapsed="false">
      <c r="A19" s="3" t="s">
        <v>80</v>
      </c>
      <c r="B19" s="5"/>
      <c r="C19" s="5"/>
      <c r="D19" s="5" t="e">
        <f aca="false">balance!f5-balance!e5</f>
        <v>#NAME?</v>
      </c>
    </row>
    <row r="20" customFormat="false" ht="13.8" hidden="false" customHeight="false" outlineLevel="0" collapsed="false">
      <c r="A20" s="3" t="s">
        <v>125</v>
      </c>
      <c r="B20" s="5"/>
      <c r="C20" s="5"/>
      <c r="D20" s="5" t="e">
        <f aca="false">resultat!b19</f>
        <v>#NAME?</v>
      </c>
    </row>
    <row r="21" customFormat="false" ht="13.8" hidden="false" customHeight="false" outlineLevel="0" collapsed="false">
      <c r="A21" s="6" t="s">
        <v>126</v>
      </c>
      <c r="B21" s="7"/>
      <c r="C21" s="7"/>
      <c r="D21" s="7" t="e">
        <f aca="false">D17+D18+D19+D20</f>
        <v>#NAME?</v>
      </c>
    </row>
    <row r="22" customFormat="false" ht="13.8" hidden="false" customHeight="false" outlineLevel="0" collapsed="false">
      <c r="A22" s="6" t="s">
        <v>127</v>
      </c>
      <c r="B22" s="6"/>
      <c r="C22" s="6"/>
      <c r="D22" s="6"/>
    </row>
    <row r="23" customFormat="false" ht="13.8" hidden="false" customHeight="false" outlineLevel="0" collapsed="false">
      <c r="A23" s="3" t="s">
        <v>81</v>
      </c>
      <c r="B23" s="5"/>
      <c r="C23" s="5"/>
      <c r="D23" s="5" t="e">
        <f aca="false">balance!f6</f>
        <v>#NAME?</v>
      </c>
    </row>
    <row r="24" customFormat="false" ht="13.8" hidden="false" customHeight="false" outlineLevel="0" collapsed="false">
      <c r="A24" s="6" t="s">
        <v>128</v>
      </c>
      <c r="B24" s="7"/>
      <c r="C24" s="7"/>
      <c r="D24" s="7" t="e">
        <f aca="false">D23</f>
        <v>#NAME?</v>
      </c>
    </row>
    <row r="25" customFormat="false" ht="13.8" hidden="false" customHeight="false" outlineLevel="0" collapsed="false">
      <c r="A25" s="6" t="s">
        <v>129</v>
      </c>
      <c r="B25" s="6"/>
      <c r="C25" s="6"/>
      <c r="D25" s="6"/>
    </row>
    <row r="26" customFormat="false" ht="13.8" hidden="false" customHeight="false" outlineLevel="0" collapsed="false">
      <c r="A26" s="3" t="s">
        <v>85</v>
      </c>
      <c r="B26" s="5"/>
      <c r="C26" s="5"/>
      <c r="D26" s="5" t="e">
        <f aca="false">balance!f10</f>
        <v>#NAME?</v>
      </c>
    </row>
    <row r="27" customFormat="false" ht="13.8" hidden="false" customHeight="false" outlineLevel="0" collapsed="false">
      <c r="A27" s="3" t="s">
        <v>87</v>
      </c>
      <c r="B27" s="5"/>
      <c r="C27" s="5"/>
      <c r="D27" s="5" t="e">
        <f aca="false">balance!f12</f>
        <v>#NAME?</v>
      </c>
    </row>
    <row r="28" customFormat="false" ht="13.8" hidden="false" customHeight="false" outlineLevel="0" collapsed="false">
      <c r="A28" s="6" t="s">
        <v>130</v>
      </c>
      <c r="B28" s="7"/>
      <c r="C28" s="7"/>
      <c r="D28" s="7" t="e">
        <f aca="false">D26+D27</f>
        <v>#NAME?</v>
      </c>
    </row>
    <row r="29" customFormat="false" ht="13.8" hidden="false" customHeight="false" outlineLevel="0" collapsed="false">
      <c r="A29" s="6" t="s">
        <v>131</v>
      </c>
      <c r="B29" s="7"/>
      <c r="C29" s="7"/>
      <c r="D29" s="7" t="e">
        <f aca="false">D21+D24+D28</f>
        <v>#NAME?</v>
      </c>
    </row>
    <row r="30" customFormat="false" ht="13.8" hidden="false" customHeight="false" outlineLevel="0" collapsed="false">
      <c r="A30" s="6" t="s">
        <v>132</v>
      </c>
      <c r="B30" s="7"/>
      <c r="C30" s="7"/>
      <c r="D30" s="7" t="e">
        <f aca="false">D13-D29</f>
        <v>#NAME?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2" min="2" style="0" width="25.04"/>
    <col collapsed="false" customWidth="true" hidden="false" outlineLevel="0" max="3" min="3" style="0" width="3.41"/>
    <col collapsed="false" customWidth="true" hidden="false" outlineLevel="0" max="4" min="4" style="0" width="29.52"/>
    <col collapsed="false" customWidth="true" hidden="false" outlineLevel="0" max="5" min="5" style="0" width="15.89"/>
  </cols>
  <sheetData>
    <row r="1" customFormat="false" ht="17.35" hidden="false" customHeight="false" outlineLevel="0" collapsed="false">
      <c r="A1" s="1" t="s">
        <v>133</v>
      </c>
      <c r="B1" s="1"/>
      <c r="C1" s="1"/>
      <c r="D1" s="1"/>
      <c r="E1" s="1"/>
    </row>
    <row r="2" customFormat="false" ht="13.8" hidden="false" customHeight="false" outlineLevel="0" collapsed="false">
      <c r="A2" s="2" t="s">
        <v>98</v>
      </c>
      <c r="B2" s="2" t="s">
        <v>99</v>
      </c>
      <c r="C2" s="3"/>
      <c r="D2" s="2" t="s">
        <v>134</v>
      </c>
      <c r="E2" s="2" t="s">
        <v>135</v>
      </c>
    </row>
    <row r="3" customFormat="false" ht="13.8" hidden="false" customHeight="false" outlineLevel="0" collapsed="false">
      <c r="A3" s="6" t="s">
        <v>136</v>
      </c>
      <c r="B3" s="6"/>
      <c r="C3" s="3"/>
      <c r="D3" s="3" t="s">
        <v>86</v>
      </c>
      <c r="E3" s="5" t="n">
        <v>30000</v>
      </c>
    </row>
    <row r="4" customFormat="false" ht="13.8" hidden="false" customHeight="false" outlineLevel="0" collapsed="false">
      <c r="A4" s="3" t="s">
        <v>137</v>
      </c>
      <c r="B4" s="5" t="e">
        <f aca="false">resultat!b17</f>
        <v>#NAME?</v>
      </c>
      <c r="C4" s="3"/>
      <c r="D4" s="3" t="s">
        <v>138</v>
      </c>
      <c r="E4" s="5" t="n">
        <v>40000</v>
      </c>
    </row>
    <row r="5" customFormat="false" ht="13.8" hidden="false" customHeight="false" outlineLevel="0" collapsed="false">
      <c r="A5" s="3" t="s">
        <v>139</v>
      </c>
      <c r="B5" s="5" t="e">
        <f aca="false">balance!e19</f>
        <v>#NAME?</v>
      </c>
      <c r="C5" s="3"/>
      <c r="D5" s="3" t="s">
        <v>85</v>
      </c>
      <c r="E5" s="5" t="n">
        <v>25000</v>
      </c>
    </row>
    <row r="6" customFormat="false" ht="13.8" hidden="false" customHeight="false" outlineLevel="0" collapsed="false">
      <c r="A6" s="3" t="s">
        <v>140</v>
      </c>
      <c r="B6" s="5" t="e">
        <f aca="false">balance!e18</f>
        <v>#NAME?</v>
      </c>
      <c r="C6" s="3"/>
      <c r="D6" s="3" t="s">
        <v>141</v>
      </c>
      <c r="E6" s="5" t="n">
        <v>200000</v>
      </c>
    </row>
    <row r="7" customFormat="false" ht="13.8" hidden="false" customHeight="false" outlineLevel="0" collapsed="false">
      <c r="A7" s="3" t="s">
        <v>142</v>
      </c>
      <c r="B7" s="5" t="e">
        <f aca="false">B4+B5+B6</f>
        <v>#NAME?</v>
      </c>
      <c r="C7" s="3"/>
      <c r="D7" s="3" t="s">
        <v>81</v>
      </c>
      <c r="E7" s="5" t="n">
        <v>80000</v>
      </c>
    </row>
    <row r="8" customFormat="false" ht="13.8" hidden="false" customHeight="false" outlineLevel="0" collapsed="false">
      <c r="A8" s="3" t="s">
        <v>143</v>
      </c>
      <c r="B8" s="5" t="e">
        <f aca="false">-(balance!e11-E3)</f>
        <v>#NAME?</v>
      </c>
      <c r="C8" s="3"/>
      <c r="D8" s="3" t="s">
        <v>144</v>
      </c>
      <c r="E8" s="5" t="n">
        <v>50000</v>
      </c>
    </row>
    <row r="9" customFormat="false" ht="13.8" hidden="false" customHeight="false" outlineLevel="0" collapsed="false">
      <c r="A9" s="3" t="s">
        <v>145</v>
      </c>
      <c r="B9" s="5" t="e">
        <f aca="false">-(balance!e9-E4)</f>
        <v>#NAME?</v>
      </c>
      <c r="C9" s="3"/>
      <c r="D9" s="3" t="s">
        <v>146</v>
      </c>
      <c r="E9" s="5" t="n">
        <v>15000</v>
      </c>
    </row>
    <row r="10" customFormat="false" ht="13.8" hidden="false" customHeight="false" outlineLevel="0" collapsed="false">
      <c r="A10" s="3" t="s">
        <v>147</v>
      </c>
      <c r="B10" s="5" t="e">
        <f aca="false">balance!f10-E5</f>
        <v>#NAME?</v>
      </c>
      <c r="C10" s="3"/>
    </row>
    <row r="11" customFormat="false" ht="13.8" hidden="false" customHeight="false" outlineLevel="0" collapsed="false">
      <c r="A11" s="6" t="s">
        <v>148</v>
      </c>
      <c r="B11" s="7" t="e">
        <f aca="false">B7+B8+B9+B10</f>
        <v>#NAME?</v>
      </c>
      <c r="C11" s="3"/>
    </row>
    <row r="12" customFormat="false" ht="13.8" hidden="false" customHeight="false" outlineLevel="0" collapsed="false">
      <c r="A12" s="3" t="s">
        <v>149</v>
      </c>
      <c r="B12" s="5" t="e">
        <f aca="false">-balance!e18</f>
        <v>#NAME?</v>
      </c>
      <c r="C12" s="3"/>
    </row>
    <row r="13" customFormat="false" ht="13.8" hidden="false" customHeight="false" outlineLevel="0" collapsed="false">
      <c r="A13" s="3" t="s">
        <v>150</v>
      </c>
      <c r="B13" s="5" t="e">
        <f aca="false">-(balance!e21-balance!f12)</f>
        <v>#NAME?</v>
      </c>
      <c r="C13" s="3"/>
    </row>
    <row r="14" customFormat="false" ht="13.8" hidden="false" customHeight="false" outlineLevel="0" collapsed="false">
      <c r="A14" s="6" t="s">
        <v>151</v>
      </c>
      <c r="B14" s="7" t="e">
        <f aca="false">B11+B12+B13</f>
        <v>#NAME?</v>
      </c>
      <c r="C14" s="3"/>
    </row>
    <row r="15" customFormat="false" ht="13.8" hidden="false" customHeight="false" outlineLevel="0" collapsed="false">
      <c r="A15" s="6" t="s">
        <v>152</v>
      </c>
      <c r="B15" s="6"/>
      <c r="C15" s="3"/>
    </row>
    <row r="16" customFormat="false" ht="13.8" hidden="false" customHeight="false" outlineLevel="0" collapsed="false">
      <c r="A16" s="3" t="s">
        <v>153</v>
      </c>
      <c r="B16" s="5" t="e">
        <f aca="false">-(balance!e7-E6)</f>
        <v>#NAME?</v>
      </c>
      <c r="C16" s="3"/>
    </row>
    <row r="17" customFormat="false" ht="13.8" hidden="false" customHeight="false" outlineLevel="0" collapsed="false">
      <c r="A17" s="6" t="s">
        <v>154</v>
      </c>
      <c r="B17" s="7" t="e">
        <f aca="false">B16</f>
        <v>#NAME?</v>
      </c>
      <c r="C17" s="3"/>
    </row>
    <row r="18" customFormat="false" ht="13.8" hidden="false" customHeight="false" outlineLevel="0" collapsed="false">
      <c r="A18" s="6" t="s">
        <v>155</v>
      </c>
      <c r="B18" s="6"/>
      <c r="C18" s="3"/>
    </row>
    <row r="19" customFormat="false" ht="13.8" hidden="false" customHeight="false" outlineLevel="0" collapsed="false">
      <c r="A19" s="3" t="s">
        <v>156</v>
      </c>
      <c r="B19" s="5" t="e">
        <f aca="false">balance!f6-E7</f>
        <v>#NAME?</v>
      </c>
      <c r="C19" s="3"/>
    </row>
    <row r="20" customFormat="false" ht="13.8" hidden="false" customHeight="false" outlineLevel="0" collapsed="false">
      <c r="A20" s="3" t="s">
        <v>157</v>
      </c>
      <c r="B20" s="5" t="e">
        <f aca="false">-(E9-(balance!f5-balance!e5))</f>
        <v>#NAME?</v>
      </c>
      <c r="C20" s="3"/>
    </row>
    <row r="21" customFormat="false" ht="13.8" hidden="false" customHeight="false" outlineLevel="0" collapsed="false">
      <c r="A21" s="6" t="s">
        <v>158</v>
      </c>
      <c r="B21" s="7" t="e">
        <f aca="false">B19+B20</f>
        <v>#NAME?</v>
      </c>
      <c r="C21" s="3"/>
    </row>
    <row r="22" customFormat="false" ht="13.8" hidden="false" customHeight="false" outlineLevel="0" collapsed="false">
      <c r="A22" s="6" t="s">
        <v>159</v>
      </c>
      <c r="B22" s="7" t="e">
        <f aca="false">B14+B17+B21</f>
        <v>#NAME?</v>
      </c>
      <c r="C22" s="3"/>
    </row>
    <row r="23" customFormat="false" ht="13.8" hidden="false" customHeight="false" outlineLevel="0" collapsed="false">
      <c r="A23" s="3" t="s">
        <v>160</v>
      </c>
      <c r="B23" s="5" t="n">
        <f aca="false">E8</f>
        <v>50000</v>
      </c>
      <c r="C23" s="3"/>
    </row>
    <row r="24" customFormat="false" ht="13.8" hidden="false" customHeight="false" outlineLevel="0" collapsed="false">
      <c r="A24" s="3" t="s">
        <v>161</v>
      </c>
      <c r="B24" s="5" t="e">
        <f aca="false">B23+B22</f>
        <v>#NAME?</v>
      </c>
      <c r="C24" s="3"/>
    </row>
    <row r="25" customFormat="false" ht="13.8" hidden="false" customHeight="false" outlineLevel="0" collapsed="false">
      <c r="A25" s="6" t="s">
        <v>162</v>
      </c>
      <c r="B25" s="7" t="e">
        <f aca="false">B24-balance!e13</f>
        <v>#NAME?</v>
      </c>
      <c r="C25" s="3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3.14"/>
    <col collapsed="false" customWidth="true" hidden="false" outlineLevel="0" max="2" min="2" style="0" width="15.89"/>
    <col collapsed="false" customWidth="true" hidden="false" outlineLevel="0" max="3" min="3" style="0" width="61.3"/>
  </cols>
  <sheetData>
    <row r="1" customFormat="false" ht="17.35" hidden="false" customHeight="false" outlineLevel="0" collapsed="false">
      <c r="A1" s="1" t="s">
        <v>163</v>
      </c>
      <c r="B1" s="1"/>
      <c r="C1" s="1"/>
    </row>
    <row r="2" customFormat="false" ht="13.8" hidden="false" customHeight="false" outlineLevel="0" collapsed="false">
      <c r="A2" s="2" t="s">
        <v>164</v>
      </c>
      <c r="B2" s="2" t="s">
        <v>135</v>
      </c>
      <c r="C2" s="2" t="s">
        <v>165</v>
      </c>
    </row>
    <row r="3" customFormat="false" ht="13.8" hidden="false" customHeight="false" outlineLevel="0" collapsed="false">
      <c r="A3" s="3" t="s">
        <v>166</v>
      </c>
      <c r="B3" s="8" t="e">
        <f aca="false">(bilan!d9+bilan!d12)/bilan!d28</f>
        <v>#NAME?</v>
      </c>
      <c r="C3" s="3" t="s">
        <v>167</v>
      </c>
    </row>
    <row r="4" customFormat="false" ht="13.8" hidden="false" customHeight="false" outlineLevel="0" collapsed="false">
      <c r="A4" s="3" t="s">
        <v>168</v>
      </c>
      <c r="B4" s="8" t="e">
        <f aca="false">(bilan!d9+bilan!d12-bilan!d7)/bilan!d28</f>
        <v>#NAME?</v>
      </c>
      <c r="C4" s="3" t="s">
        <v>169</v>
      </c>
    </row>
    <row r="5" customFormat="false" ht="13.8" hidden="false" customHeight="false" outlineLevel="0" collapsed="false">
      <c r="A5" s="3" t="s">
        <v>170</v>
      </c>
      <c r="B5" s="9" t="e">
        <f aca="false">bilan!d21/bilan!d13</f>
        <v>#NAME?</v>
      </c>
      <c r="C5" s="3" t="s">
        <v>171</v>
      </c>
    </row>
    <row r="6" customFormat="false" ht="13.8" hidden="false" customHeight="false" outlineLevel="0" collapsed="false">
      <c r="A6" s="3" t="s">
        <v>172</v>
      </c>
      <c r="B6" s="8" t="e">
        <f aca="false">bilan!d24/bilan!d21</f>
        <v>#NAME?</v>
      </c>
      <c r="C6" s="3" t="s">
        <v>173</v>
      </c>
    </row>
    <row r="7" customFormat="false" ht="13.8" hidden="false" customHeight="false" outlineLevel="0" collapsed="false">
      <c r="A7" s="3" t="s">
        <v>174</v>
      </c>
      <c r="B7" s="9" t="e">
        <f aca="false">resultat!b6/resultat!b3</f>
        <v>#NAME?</v>
      </c>
      <c r="C7" s="3" t="s">
        <v>175</v>
      </c>
    </row>
    <row r="8" customFormat="false" ht="13.8" hidden="false" customHeight="false" outlineLevel="0" collapsed="false">
      <c r="A8" s="3" t="s">
        <v>176</v>
      </c>
      <c r="B8" s="9" t="e">
        <f aca="false">resultat!b8/resultat!b3</f>
        <v>#NAME?</v>
      </c>
      <c r="C8" s="3" t="s">
        <v>177</v>
      </c>
    </row>
    <row r="9" customFormat="false" ht="13.8" hidden="false" customHeight="false" outlineLevel="0" collapsed="false">
      <c r="A9" s="3" t="s">
        <v>178</v>
      </c>
      <c r="B9" s="9" t="e">
        <f aca="false">resultat!b19/resultat!b3</f>
        <v>#NAME?</v>
      </c>
      <c r="C9" s="3" t="s">
        <v>179</v>
      </c>
    </row>
    <row r="10" customFormat="false" ht="13.8" hidden="false" customHeight="false" outlineLevel="0" collapsed="false">
      <c r="A10" s="3" t="s">
        <v>180</v>
      </c>
      <c r="B10" s="9" t="e">
        <f aca="false">resultat!b19/bilan!d21</f>
        <v>#NAME?</v>
      </c>
      <c r="C10" s="3" t="s">
        <v>181</v>
      </c>
    </row>
    <row r="11" customFormat="false" ht="13.8" hidden="false" customHeight="false" outlineLevel="0" collapsed="false">
      <c r="A11" s="3" t="s">
        <v>182</v>
      </c>
      <c r="B11" s="9" t="e">
        <f aca="false">resultat!b19/bilan!d13</f>
        <v>#NAME?</v>
      </c>
      <c r="C11" s="3" t="s">
        <v>183</v>
      </c>
    </row>
    <row r="12" customFormat="false" ht="13.8" hidden="false" customHeight="false" outlineLevel="0" collapsed="false">
      <c r="A12" s="3" t="s">
        <v>184</v>
      </c>
      <c r="B12" s="8" t="e">
        <f aca="false">-(resultat!b4+resultat!b5)/bilan!d7</f>
        <v>#NAME?</v>
      </c>
      <c r="C12" s="3" t="s">
        <v>185</v>
      </c>
    </row>
    <row r="13" customFormat="false" ht="13.8" hidden="false" customHeight="false" outlineLevel="0" collapsed="false">
      <c r="A13" s="3" t="s">
        <v>186</v>
      </c>
      <c r="B13" s="5" t="e">
        <f aca="false">bilan!d7+bilan!d8-bilan!d26</f>
        <v>#NAME?</v>
      </c>
      <c r="C13" s="3" t="s">
        <v>187</v>
      </c>
    </row>
  </sheetData>
  <mergeCells count="1">
    <mergeCell ref="A1:C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2026-07-07T15:07:17Z</dcterms:modified>
  <cp:revision>1</cp:revision>
  <dc:subject/>
  <dc:title/>
</cp:coreProperties>
</file>