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urnal" sheetId="1" r:id="rId1"/>
    <sheet name="Balance" sheetId="2" r:id="rId2"/>
    <sheet name="Resultat" sheetId="3" r:id="rId3"/>
    <sheet name="Bilan" sheetId="4" r:id="rId4"/>
    <sheet name="Tresorerie" sheetId="5" r:id="rId5"/>
    <sheet name="Ratios" sheetId="6" r:id="rId6"/>
  </sheets>
  <calcPr calcId="0" fullCalcOnLoad="1"/>
</workbook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name val="Calibri"/>
    </font>
    <font>
      <b/>
      <sz val="11"/>
      <color rgb="FFFFFFFF"/>
      <name val="Calibri"/>
    </font>
    <font>
      <sz val="11"/>
      <color rgb="FF111827"/>
      <name val="Calibri"/>
    </font>
    <font>
      <b/>
      <sz val="11"/>
      <color rgb="FF111827"/>
      <name val="Calibri"/>
    </font>
    <font>
      <b/>
      <sz val="14"/>
      <color rgb="FF1D4ED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10">
    <xf numFmtId="0" fontId="0" fillId="0" borderId="0"/>
    <xf numFmtId="0" fontId="1" fillId="2" borderId="1" applyAlignment="1">
      <alignment vertical="center" horizontal="center"/>
    </xf>
    <xf numFmtId="0" fontId="2" fillId="0" borderId="1" applyAlignment="1">
      <alignment vertical="center" horizontal="left"/>
    </xf>
    <xf numFmtId="0" fontId="3" fillId="3" borderId="1" applyAlignment="1">
      <alignment vertical="center" horizontal="left"/>
    </xf>
    <xf numFmtId="164" fontId="2" fillId="0" borderId="1" applyAlignment="1">
      <alignment vertical="center" horizontal="right"/>
    </xf>
    <xf numFmtId="164" fontId="3" fillId="3" borderId="1" applyAlignment="1">
      <alignment vertical="center" horizontal="right"/>
    </xf>
    <xf numFmtId="165" fontId="2" fillId="0" borderId="1" applyAlignment="1">
      <alignment vertical="center" horizontal="right"/>
    </xf>
    <xf numFmtId="166" fontId="2" fillId="0" borderId="1" applyAlignment="1">
      <alignment vertical="center" horizontal="right"/>
    </xf>
    <xf numFmtId="0" fontId="4" fillId="0" borderId="0" applyAlignment="1">
      <alignment vertical="center"/>
    </xf>
    <xf numFmtId="1" fontId="2" fillId="0" borderId="1" applyAlignment="1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" customWidth="1"/>
    <col min="2" max="2" width="10" customWidth="1"/>
    <col min="3" max="3" width="10" customWidth="1"/>
    <col min="4" max="4" width="30" customWidth="1"/>
    <col min="5" max="5" width="30" customWidth="1"/>
    <col min="6" max="6" width="14" customWidth="1"/>
    <col min="7" max="7" width="14" customWidth="1"/>
  </cols>
  <sheetData>
    <row r="1">
      <c r="A1" s="8" t="inlineStr">
        <is>
          <t xml:space="preserve">JOURNAL COMPTABLE - Exercice 2025</t>
        </is>
      </c>
    </row>
    <row r="2">
      <c r="A2" s="1" t="inlineStr">
        <is>
          <t xml:space="preserve">Date</t>
        </is>
      </c>
      <c r="B2" s="1" t="inlineStr">
        <is>
          <t xml:space="preserve">Piece</t>
        </is>
      </c>
      <c r="C2" s="1" t="inlineStr">
        <is>
          <t xml:space="preserve">Code</t>
        </is>
      </c>
      <c r="D2" s="1" t="inlineStr">
        <is>
          <t xml:space="preserve">Compte</t>
        </is>
      </c>
      <c r="E2" s="1" t="inlineStr">
        <is>
          <t xml:space="preserve">Libelle ecriture</t>
        </is>
      </c>
      <c r="F2" s="1" t="inlineStr">
        <is>
          <t xml:space="preserve">Debit</t>
        </is>
      </c>
      <c r="G2" s="1" t="inlineStr">
        <is>
          <t xml:space="preserve">Credit</t>
        </is>
      </c>
    </row>
    <row r="3">
      <c r="A3" s="2" t="inlineStr">
        <is>
          <t xml:space="preserve">01/01/2025</t>
        </is>
      </c>
      <c r="B3" s="2" t="inlineStr">
        <is>
          <t xml:space="preserve">OUV</t>
        </is>
      </c>
      <c r="C3" s="9">
        <v>1000</v>
      </c>
      <c r="D3" s="2" t="inlineStr">
        <is>
          <t xml:space="preserve">Tresorerie</t>
        </is>
      </c>
      <c r="E3" s="2" t="inlineStr">
        <is>
          <t xml:space="preserve">Solde d'ouverture</t>
        </is>
      </c>
      <c r="F3" s="4">
        <v>50000</v>
      </c>
      <c r="G3" s="4"/>
    </row>
    <row r="4">
      <c r="A4" s="2" t="inlineStr">
        <is>
          <t xml:space="preserve">01/01/2025</t>
        </is>
      </c>
      <c r="B4" s="2" t="inlineStr">
        <is>
          <t xml:space="preserve">OUV</t>
        </is>
      </c>
      <c r="C4" s="9">
        <v>1100</v>
      </c>
      <c r="D4" s="2" t="inlineStr">
        <is>
          <t xml:space="preserve">Clients</t>
        </is>
      </c>
      <c r="E4" s="2" t="inlineStr">
        <is>
          <t xml:space="preserve">Solde d'ouverture</t>
        </is>
      </c>
      <c r="F4" s="4">
        <v>30000</v>
      </c>
      <c r="G4" s="4"/>
    </row>
    <row r="5">
      <c r="A5" s="2" t="inlineStr">
        <is>
          <t xml:space="preserve">01/01/2025</t>
        </is>
      </c>
      <c r="B5" s="2" t="inlineStr">
        <is>
          <t xml:space="preserve">OUV</t>
        </is>
      </c>
      <c r="C5" s="9">
        <v>1200</v>
      </c>
      <c r="D5" s="2" t="inlineStr">
        <is>
          <t xml:space="preserve">Stocks</t>
        </is>
      </c>
      <c r="E5" s="2" t="inlineStr">
        <is>
          <t xml:space="preserve">Solde d'ouverture</t>
        </is>
      </c>
      <c r="F5" s="4">
        <v>40000</v>
      </c>
      <c r="G5" s="4"/>
    </row>
    <row r="6">
      <c r="A6" s="2" t="inlineStr">
        <is>
          <t xml:space="preserve">01/01/2025</t>
        </is>
      </c>
      <c r="B6" s="2" t="inlineStr">
        <is>
          <t xml:space="preserve">OUV</t>
        </is>
      </c>
      <c r="C6" s="9">
        <v>1500</v>
      </c>
      <c r="D6" s="2" t="inlineStr">
        <is>
          <t xml:space="preserve">Immobilisations corporelles (brut)</t>
        </is>
      </c>
      <c r="E6" s="2" t="inlineStr">
        <is>
          <t xml:space="preserve">Solde d'ouverture</t>
        </is>
      </c>
      <c r="F6" s="4">
        <v>200000</v>
      </c>
      <c r="G6" s="4"/>
    </row>
    <row r="7">
      <c r="A7" s="2" t="inlineStr">
        <is>
          <t xml:space="preserve">01/01/2025</t>
        </is>
      </c>
      <c r="B7" s="2" t="inlineStr">
        <is>
          <t xml:space="preserve">OUV</t>
        </is>
      </c>
      <c r="C7" s="9">
        <v>1590</v>
      </c>
      <c r="D7" s="2" t="inlineStr">
        <is>
          <t xml:space="preserve">Amortissements cumules</t>
        </is>
      </c>
      <c r="E7" s="2" t="inlineStr">
        <is>
          <t xml:space="preserve">Solde d'ouverture</t>
        </is>
      </c>
      <c r="F7" s="4"/>
      <c r="G7" s="4">
        <v>60000</v>
      </c>
    </row>
    <row r="8">
      <c r="A8" s="2" t="inlineStr">
        <is>
          <t xml:space="preserve">01/01/2025</t>
        </is>
      </c>
      <c r="B8" s="2" t="inlineStr">
        <is>
          <t xml:space="preserve">OUV</t>
        </is>
      </c>
      <c r="C8" s="9">
        <v>2000</v>
      </c>
      <c r="D8" s="2" t="inlineStr">
        <is>
          <t xml:space="preserve">Fournisseurs</t>
        </is>
      </c>
      <c r="E8" s="2" t="inlineStr">
        <is>
          <t xml:space="preserve">Solde d'ouverture</t>
        </is>
      </c>
      <c r="F8" s="4"/>
      <c r="G8" s="4">
        <v>25000</v>
      </c>
    </row>
    <row r="9">
      <c r="A9" s="2" t="inlineStr">
        <is>
          <t xml:space="preserve">01/01/2025</t>
        </is>
      </c>
      <c r="B9" s="2" t="inlineStr">
        <is>
          <t xml:space="preserve">OUV</t>
        </is>
      </c>
      <c r="C9" s="9">
        <v>2500</v>
      </c>
      <c r="D9" s="2" t="inlineStr">
        <is>
          <t xml:space="preserve">Emprunts</t>
        </is>
      </c>
      <c r="E9" s="2" t="inlineStr">
        <is>
          <t xml:space="preserve">Solde d'ouverture</t>
        </is>
      </c>
      <c r="F9" s="4"/>
      <c r="G9" s="4">
        <v>80000</v>
      </c>
    </row>
    <row r="10">
      <c r="A10" s="2" t="inlineStr">
        <is>
          <t xml:space="preserve">01/01/2025</t>
        </is>
      </c>
      <c r="B10" s="2" t="inlineStr">
        <is>
          <t xml:space="preserve">OUV</t>
        </is>
      </c>
      <c r="C10" s="9">
        <v>3000</v>
      </c>
      <c r="D10" s="2" t="inlineStr">
        <is>
          <t xml:space="preserve">Capital social</t>
        </is>
      </c>
      <c r="E10" s="2" t="inlineStr">
        <is>
          <t xml:space="preserve">Solde d'ouverture</t>
        </is>
      </c>
      <c r="F10" s="4"/>
      <c r="G10" s="4">
        <v>100000</v>
      </c>
    </row>
    <row r="11">
      <c r="A11" s="2" t="inlineStr">
        <is>
          <t xml:space="preserve">01/01/2025</t>
        </is>
      </c>
      <c r="B11" s="2" t="inlineStr">
        <is>
          <t xml:space="preserve">OUV</t>
        </is>
      </c>
      <c r="C11" s="9">
        <v>3100</v>
      </c>
      <c r="D11" s="2" t="inlineStr">
        <is>
          <t xml:space="preserve">Resultats non distribues (ouv.)</t>
        </is>
      </c>
      <c r="E11" s="2" t="inlineStr">
        <is>
          <t xml:space="preserve">Solde d'ouverture</t>
        </is>
      </c>
      <c r="F11" s="4"/>
      <c r="G11" s="4">
        <v>55000</v>
      </c>
    </row>
    <row r="12">
      <c r="A12" s="2" t="inlineStr">
        <is>
          <t xml:space="preserve">15/02/2025</t>
        </is>
      </c>
      <c r="B12" s="2" t="inlineStr">
        <is>
          <t xml:space="preserve">VT-01</t>
        </is>
      </c>
      <c r="C12" s="9">
        <v>1100</v>
      </c>
      <c r="D12" s="2" t="inlineStr">
        <is>
          <t xml:space="preserve">Clients</t>
        </is>
      </c>
      <c r="E12" s="2" t="inlineStr">
        <is>
          <t xml:space="preserve">Ventes a credit</t>
        </is>
      </c>
      <c r="F12" s="4">
        <v>300000</v>
      </c>
      <c r="G12" s="4"/>
    </row>
    <row r="13">
      <c r="A13" s="2" t="inlineStr">
        <is>
          <t xml:space="preserve">15/02/2025</t>
        </is>
      </c>
      <c r="B13" s="2" t="inlineStr">
        <is>
          <t xml:space="preserve">VT-01</t>
        </is>
      </c>
      <c r="C13" s="9">
        <v>4000</v>
      </c>
      <c r="D13" s="2" t="inlineStr">
        <is>
          <t xml:space="preserve">Produits (ventes)</t>
        </is>
      </c>
      <c r="E13" s="2" t="inlineStr">
        <is>
          <t xml:space="preserve">Ventes a credit</t>
        </is>
      </c>
      <c r="F13" s="4"/>
      <c r="G13" s="4">
        <v>300000</v>
      </c>
    </row>
    <row r="14">
      <c r="A14" s="2" t="inlineStr">
        <is>
          <t xml:space="preserve">20/03/2025</t>
        </is>
      </c>
      <c r="B14" s="2" t="inlineStr">
        <is>
          <t xml:space="preserve">ENC-01</t>
        </is>
      </c>
      <c r="C14" s="9">
        <v>1000</v>
      </c>
      <c r="D14" s="2" t="inlineStr">
        <is>
          <t xml:space="preserve">Tresorerie</t>
        </is>
      </c>
      <c r="E14" s="2" t="inlineStr">
        <is>
          <t xml:space="preserve">Encaissement clients</t>
        </is>
      </c>
      <c r="F14" s="4">
        <v>290000</v>
      </c>
      <c r="G14" s="4"/>
    </row>
    <row r="15">
      <c r="A15" s="2" t="inlineStr">
        <is>
          <t xml:space="preserve">20/03/2025</t>
        </is>
      </c>
      <c r="B15" s="2" t="inlineStr">
        <is>
          <t xml:space="preserve">ENC-01</t>
        </is>
      </c>
      <c r="C15" s="9">
        <v>1100</v>
      </c>
      <c r="D15" s="2" t="inlineStr">
        <is>
          <t xml:space="preserve">Clients</t>
        </is>
      </c>
      <c r="E15" s="2" t="inlineStr">
        <is>
          <t xml:space="preserve">Encaissement clients</t>
        </is>
      </c>
      <c r="F15" s="4"/>
      <c r="G15" s="4">
        <v>290000</v>
      </c>
    </row>
    <row r="16">
      <c r="A16" s="2" t="inlineStr">
        <is>
          <t xml:space="preserve">05/04/2025</t>
        </is>
      </c>
      <c r="B16" s="2" t="inlineStr">
        <is>
          <t xml:space="preserve">ACH-01</t>
        </is>
      </c>
      <c r="C16" s="9">
        <v>1200</v>
      </c>
      <c r="D16" s="2" t="inlineStr">
        <is>
          <t xml:space="preserve">Stocks</t>
        </is>
      </c>
      <c r="E16" s="2" t="inlineStr">
        <is>
          <t xml:space="preserve">Achats de marchandises</t>
        </is>
      </c>
      <c r="F16" s="4">
        <v>160000</v>
      </c>
      <c r="G16" s="4"/>
    </row>
    <row r="17">
      <c r="A17" s="2" t="inlineStr">
        <is>
          <t xml:space="preserve">05/04/2025</t>
        </is>
      </c>
      <c r="B17" s="2" t="inlineStr">
        <is>
          <t xml:space="preserve">ACH-01</t>
        </is>
      </c>
      <c r="C17" s="9">
        <v>2000</v>
      </c>
      <c r="D17" s="2" t="inlineStr">
        <is>
          <t xml:space="preserve">Fournisseurs</t>
        </is>
      </c>
      <c r="E17" s="2" t="inlineStr">
        <is>
          <t xml:space="preserve">Achats de marchandises</t>
        </is>
      </c>
      <c r="F17" s="4"/>
      <c r="G17" s="4">
        <v>160000</v>
      </c>
    </row>
    <row r="18">
      <c r="A18" s="2" t="inlineStr">
        <is>
          <t xml:space="preserve">30/06/2025</t>
        </is>
      </c>
      <c r="B18" s="2" t="inlineStr">
        <is>
          <t xml:space="preserve">CV-01</t>
        </is>
      </c>
      <c r="C18" s="9">
        <v>5000</v>
      </c>
      <c r="D18" s="2" t="inlineStr">
        <is>
          <t xml:space="preserve">Cout des ventes</t>
        </is>
      </c>
      <c r="E18" s="2" t="inlineStr">
        <is>
          <t xml:space="preserve">Sortie de stock vendu</t>
        </is>
      </c>
      <c r="F18" s="4">
        <v>170000</v>
      </c>
      <c r="G18" s="4"/>
    </row>
    <row r="19">
      <c r="A19" s="2" t="inlineStr">
        <is>
          <t xml:space="preserve">30/06/2025</t>
        </is>
      </c>
      <c r="B19" s="2" t="inlineStr">
        <is>
          <t xml:space="preserve">CV-01</t>
        </is>
      </c>
      <c r="C19" s="9">
        <v>1200</v>
      </c>
      <c r="D19" s="2" t="inlineStr">
        <is>
          <t xml:space="preserve">Stocks</t>
        </is>
      </c>
      <c r="E19" s="2" t="inlineStr">
        <is>
          <t xml:space="preserve">Sortie de stock vendu</t>
        </is>
      </c>
      <c r="F19" s="4"/>
      <c r="G19" s="4">
        <v>170000</v>
      </c>
    </row>
    <row r="20">
      <c r="A20" s="2" t="inlineStr">
        <is>
          <t xml:space="preserve">10/07/2025</t>
        </is>
      </c>
      <c r="B20" s="2" t="inlineStr">
        <is>
          <t xml:space="preserve">PAY-01</t>
        </is>
      </c>
      <c r="C20" s="9">
        <v>2000</v>
      </c>
      <c r="D20" s="2" t="inlineStr">
        <is>
          <t xml:space="preserve">Fournisseurs</t>
        </is>
      </c>
      <c r="E20" s="2" t="inlineStr">
        <is>
          <t xml:space="preserve">Reglement fournisseurs</t>
        </is>
      </c>
      <c r="F20" s="4">
        <v>165000</v>
      </c>
      <c r="G20" s="4"/>
    </row>
    <row r="21">
      <c r="A21" s="2" t="inlineStr">
        <is>
          <t xml:space="preserve">10/07/2025</t>
        </is>
      </c>
      <c r="B21" s="2" t="inlineStr">
        <is>
          <t xml:space="preserve">PAY-01</t>
        </is>
      </c>
      <c r="C21" s="9">
        <v>1000</v>
      </c>
      <c r="D21" s="2" t="inlineStr">
        <is>
          <t xml:space="preserve">Tresorerie</t>
        </is>
      </c>
      <c r="E21" s="2" t="inlineStr">
        <is>
          <t xml:space="preserve">Reglement fournisseurs</t>
        </is>
      </c>
      <c r="F21" s="4"/>
      <c r="G21" s="4">
        <v>165000</v>
      </c>
    </row>
    <row r="22">
      <c r="A22" s="2" t="inlineStr">
        <is>
          <t xml:space="preserve">31/07/2025</t>
        </is>
      </c>
      <c r="B22" s="2" t="inlineStr">
        <is>
          <t xml:space="preserve">SAL-01</t>
        </is>
      </c>
      <c r="C22" s="9">
        <v>5100</v>
      </c>
      <c r="D22" s="2" t="inlineStr">
        <is>
          <t xml:space="preserve">Charges de personnel</t>
        </is>
      </c>
      <c r="E22" s="2" t="inlineStr">
        <is>
          <t xml:space="preserve">Salaires</t>
        </is>
      </c>
      <c r="F22" s="4">
        <v>60000</v>
      </c>
      <c r="G22" s="4"/>
    </row>
    <row r="23">
      <c r="A23" s="2" t="inlineStr">
        <is>
          <t xml:space="preserve">31/07/2025</t>
        </is>
      </c>
      <c r="B23" s="2" t="inlineStr">
        <is>
          <t xml:space="preserve">SAL-01</t>
        </is>
      </c>
      <c r="C23" s="9">
        <v>1000</v>
      </c>
      <c r="D23" s="2" t="inlineStr">
        <is>
          <t xml:space="preserve">Tresorerie</t>
        </is>
      </c>
      <c r="E23" s="2" t="inlineStr">
        <is>
          <t xml:space="preserve">Salaires</t>
        </is>
      </c>
      <c r="F23" s="4"/>
      <c r="G23" s="4">
        <v>60000</v>
      </c>
    </row>
    <row r="24">
      <c r="A24" s="2" t="inlineStr">
        <is>
          <t xml:space="preserve">31/08/2025</t>
        </is>
      </c>
      <c r="B24" s="2" t="inlineStr">
        <is>
          <t xml:space="preserve">AUT-01</t>
        </is>
      </c>
      <c r="C24" s="9">
        <v>5300</v>
      </c>
      <c r="D24" s="2" t="inlineStr">
        <is>
          <t xml:space="preserve">Autres charges</t>
        </is>
      </c>
      <c r="E24" s="2" t="inlineStr">
        <is>
          <t xml:space="preserve">Charges diverses</t>
        </is>
      </c>
      <c r="F24" s="4">
        <v>25000</v>
      </c>
      <c r="G24" s="4"/>
    </row>
    <row r="25">
      <c r="A25" s="2" t="inlineStr">
        <is>
          <t xml:space="preserve">31/08/2025</t>
        </is>
      </c>
      <c r="B25" s="2" t="inlineStr">
        <is>
          <t xml:space="preserve">AUT-01</t>
        </is>
      </c>
      <c r="C25" s="9">
        <v>1000</v>
      </c>
      <c r="D25" s="2" t="inlineStr">
        <is>
          <t xml:space="preserve">Tresorerie</t>
        </is>
      </c>
      <c r="E25" s="2" t="inlineStr">
        <is>
          <t xml:space="preserve">Charges diverses</t>
        </is>
      </c>
      <c r="F25" s="4"/>
      <c r="G25" s="4">
        <v>25000</v>
      </c>
    </row>
    <row r="26">
      <c r="A26" s="2" t="inlineStr">
        <is>
          <t xml:space="preserve">30/09/2025</t>
        </is>
      </c>
      <c r="B26" s="2" t="inlineStr">
        <is>
          <t xml:space="preserve">AM-01</t>
        </is>
      </c>
      <c r="C26" s="9">
        <v>5200</v>
      </c>
      <c r="D26" s="2" t="inlineStr">
        <is>
          <t xml:space="preserve">Dotations amortissements</t>
        </is>
      </c>
      <c r="E26" s="2" t="inlineStr">
        <is>
          <t xml:space="preserve">Dotation amortissement</t>
        </is>
      </c>
      <c r="F26" s="4">
        <v>20000</v>
      </c>
      <c r="G26" s="4"/>
    </row>
    <row r="27">
      <c r="A27" s="2" t="inlineStr">
        <is>
          <t xml:space="preserve">30/09/2025</t>
        </is>
      </c>
      <c r="B27" s="2" t="inlineStr">
        <is>
          <t xml:space="preserve">AM-01</t>
        </is>
      </c>
      <c r="C27" s="9">
        <v>1590</v>
      </c>
      <c r="D27" s="2" t="inlineStr">
        <is>
          <t xml:space="preserve">Amortissements cumules</t>
        </is>
      </c>
      <c r="E27" s="2" t="inlineStr">
        <is>
          <t xml:space="preserve">Dotation amortissement</t>
        </is>
      </c>
      <c r="F27" s="4"/>
      <c r="G27" s="4">
        <v>20000</v>
      </c>
    </row>
    <row r="28">
      <c r="A28" s="2" t="inlineStr">
        <is>
          <t xml:space="preserve">15/10/2025</t>
        </is>
      </c>
      <c r="B28" s="2" t="inlineStr">
        <is>
          <t xml:space="preserve">INV-01</t>
        </is>
      </c>
      <c r="C28" s="9">
        <v>1500</v>
      </c>
      <c r="D28" s="2" t="inlineStr">
        <is>
          <t xml:space="preserve">Immobilisations corporelles (brut)</t>
        </is>
      </c>
      <c r="E28" s="2" t="inlineStr">
        <is>
          <t xml:space="preserve">Acquisition materiel</t>
        </is>
      </c>
      <c r="F28" s="4">
        <v>30000</v>
      </c>
      <c r="G28" s="4"/>
    </row>
    <row r="29">
      <c r="A29" s="2" t="inlineStr">
        <is>
          <t xml:space="preserve">15/10/2025</t>
        </is>
      </c>
      <c r="B29" s="2" t="inlineStr">
        <is>
          <t xml:space="preserve">INV-01</t>
        </is>
      </c>
      <c r="C29" s="9">
        <v>1000</v>
      </c>
      <c r="D29" s="2" t="inlineStr">
        <is>
          <t xml:space="preserve">Tresorerie</t>
        </is>
      </c>
      <c r="E29" s="2" t="inlineStr">
        <is>
          <t xml:space="preserve">Acquisition materiel</t>
        </is>
      </c>
      <c r="F29" s="4"/>
      <c r="G29" s="4">
        <v>30000</v>
      </c>
    </row>
    <row r="30">
      <c r="A30" s="2" t="inlineStr">
        <is>
          <t xml:space="preserve">31/10/2025</t>
        </is>
      </c>
      <c r="B30" s="2" t="inlineStr">
        <is>
          <t xml:space="preserve">FIN-01</t>
        </is>
      </c>
      <c r="C30" s="9">
        <v>6000</v>
      </c>
      <c r="D30" s="2" t="inlineStr">
        <is>
          <t xml:space="preserve">Charges financieres</t>
        </is>
      </c>
      <c r="E30" s="2" t="inlineStr">
        <is>
          <t xml:space="preserve">Interets emprunt</t>
        </is>
      </c>
      <c r="F30" s="4">
        <v>8000</v>
      </c>
      <c r="G30" s="4"/>
    </row>
    <row r="31">
      <c r="A31" s="2" t="inlineStr">
        <is>
          <t xml:space="preserve">31/10/2025</t>
        </is>
      </c>
      <c r="B31" s="2" t="inlineStr">
        <is>
          <t xml:space="preserve">FIN-01</t>
        </is>
      </c>
      <c r="C31" s="9">
        <v>1000</v>
      </c>
      <c r="D31" s="2" t="inlineStr">
        <is>
          <t xml:space="preserve">Tresorerie</t>
        </is>
      </c>
      <c r="E31" s="2" t="inlineStr">
        <is>
          <t xml:space="preserve">Interets emprunt</t>
        </is>
      </c>
      <c r="F31" s="4"/>
      <c r="G31" s="4">
        <v>8000</v>
      </c>
    </row>
    <row r="32">
      <c r="A32" s="2" t="inlineStr">
        <is>
          <t xml:space="preserve">01/11/2025</t>
        </is>
      </c>
      <c r="B32" s="2" t="inlineStr">
        <is>
          <t xml:space="preserve">EMP-01</t>
        </is>
      </c>
      <c r="C32" s="9">
        <v>1000</v>
      </c>
      <c r="D32" s="2" t="inlineStr">
        <is>
          <t xml:space="preserve">Tresorerie</t>
        </is>
      </c>
      <c r="E32" s="2" t="inlineStr">
        <is>
          <t xml:space="preserve">Nouvel emprunt</t>
        </is>
      </c>
      <c r="F32" s="4">
        <v>20000</v>
      </c>
      <c r="G32" s="4"/>
    </row>
    <row r="33">
      <c r="A33" s="2" t="inlineStr">
        <is>
          <t xml:space="preserve">01/11/2025</t>
        </is>
      </c>
      <c r="B33" s="2" t="inlineStr">
        <is>
          <t xml:space="preserve">EMP-01</t>
        </is>
      </c>
      <c r="C33" s="9">
        <v>2500</v>
      </c>
      <c r="D33" s="2" t="inlineStr">
        <is>
          <t xml:space="preserve">Emprunts</t>
        </is>
      </c>
      <c r="E33" s="2" t="inlineStr">
        <is>
          <t xml:space="preserve">Nouvel emprunt</t>
        </is>
      </c>
      <c r="F33" s="4"/>
      <c r="G33" s="4">
        <v>20000</v>
      </c>
    </row>
    <row r="34">
      <c r="A34" s="2" t="inlineStr">
        <is>
          <t xml:space="preserve">15/12/2025</t>
        </is>
      </c>
      <c r="B34" s="2" t="inlineStr">
        <is>
          <t xml:space="preserve">IS-01</t>
        </is>
      </c>
      <c r="C34" s="9">
        <v>7000</v>
      </c>
      <c r="D34" s="2" t="inlineStr">
        <is>
          <t xml:space="preserve">Impot sur le resultat</t>
        </is>
      </c>
      <c r="E34" s="2" t="inlineStr">
        <is>
          <t xml:space="preserve">Charge d'impot</t>
        </is>
      </c>
      <c r="F34" s="4">
        <v>12000</v>
      </c>
      <c r="G34" s="4"/>
    </row>
    <row r="35">
      <c r="A35" s="2" t="inlineStr">
        <is>
          <t xml:space="preserve">15/12/2025</t>
        </is>
      </c>
      <c r="B35" s="2" t="inlineStr">
        <is>
          <t xml:space="preserve">IS-01</t>
        </is>
      </c>
      <c r="C35" s="9">
        <v>2100</v>
      </c>
      <c r="D35" s="2" t="inlineStr">
        <is>
          <t xml:space="preserve">Impot a payer</t>
        </is>
      </c>
      <c r="E35" s="2" t="inlineStr">
        <is>
          <t xml:space="preserve">Charge d'impot</t>
        </is>
      </c>
      <c r="F35" s="4"/>
      <c r="G35" s="4">
        <v>12000</v>
      </c>
    </row>
    <row r="36">
      <c r="A36" s="2" t="inlineStr">
        <is>
          <t xml:space="preserve">20/12/2025</t>
        </is>
      </c>
      <c r="B36" s="2" t="inlineStr">
        <is>
          <t xml:space="preserve">IS-02</t>
        </is>
      </c>
      <c r="C36" s="9">
        <v>2100</v>
      </c>
      <c r="D36" s="2" t="inlineStr">
        <is>
          <t xml:space="preserve">Impot a payer</t>
        </is>
      </c>
      <c r="E36" s="2" t="inlineStr">
        <is>
          <t xml:space="preserve">Paiement acompte impot</t>
        </is>
      </c>
      <c r="F36" s="4">
        <v>9000</v>
      </c>
      <c r="G36" s="4"/>
    </row>
    <row r="37">
      <c r="A37" s="2" t="inlineStr">
        <is>
          <t xml:space="preserve">20/12/2025</t>
        </is>
      </c>
      <c r="B37" s="2" t="inlineStr">
        <is>
          <t xml:space="preserve">IS-02</t>
        </is>
      </c>
      <c r="C37" s="9">
        <v>1000</v>
      </c>
      <c r="D37" s="2" t="inlineStr">
        <is>
          <t xml:space="preserve">Tresorerie</t>
        </is>
      </c>
      <c r="E37" s="2" t="inlineStr">
        <is>
          <t xml:space="preserve">Paiement acompte impot</t>
        </is>
      </c>
      <c r="F37" s="4"/>
      <c r="G37" s="4">
        <v>9000</v>
      </c>
    </row>
    <row r="38">
      <c r="A38" s="2" t="inlineStr">
        <is>
          <t xml:space="preserve">28/12/2025</t>
        </is>
      </c>
      <c r="B38" s="2" t="inlineStr">
        <is>
          <t xml:space="preserve">DIV-01</t>
        </is>
      </c>
      <c r="C38" s="9">
        <v>3100</v>
      </c>
      <c r="D38" s="2" t="inlineStr">
        <is>
          <t xml:space="preserve">Resultats non distribues (ouv.)</t>
        </is>
      </c>
      <c r="E38" s="2" t="inlineStr">
        <is>
          <t xml:space="preserve">Dividendes verses</t>
        </is>
      </c>
      <c r="F38" s="4">
        <v>15000</v>
      </c>
      <c r="G38" s="4"/>
    </row>
    <row r="39">
      <c r="A39" s="2" t="inlineStr">
        <is>
          <t xml:space="preserve">28/12/2025</t>
        </is>
      </c>
      <c r="B39" s="2" t="inlineStr">
        <is>
          <t xml:space="preserve">DIV-01</t>
        </is>
      </c>
      <c r="C39" s="9">
        <v>1000</v>
      </c>
      <c r="D39" s="2" t="inlineStr">
        <is>
          <t xml:space="preserve">Tresorerie</t>
        </is>
      </c>
      <c r="E39" s="2" t="inlineStr">
        <is>
          <t xml:space="preserve">Dividendes verses</t>
        </is>
      </c>
      <c r="F39" s="4"/>
      <c r="G39" s="4">
        <v>15000</v>
      </c>
    </row>
    <row r="40">
      <c r="A40" s="2"/>
      <c r="B40" s="2"/>
      <c r="C40" s="2"/>
      <c r="D40" s="2"/>
      <c r="E40" s="3" t="inlineStr">
        <is>
          <t xml:space="preserve">TOTAUX</t>
        </is>
      </c>
      <c r="F40" s="5">
        <f>SUM(F3:F39)</f>
      </c>
      <c r="G40" s="5">
        <f>SUM(G3:G39)</f>
      </c>
    </row>
    <row r="41">
      <c r="A41" s="2"/>
      <c r="B41" s="2"/>
      <c r="C41" s="2"/>
      <c r="D41" s="2"/>
      <c r="E41" s="3" t="inlineStr">
        <is>
          <t xml:space="preserve">Controle equilibre</t>
        </is>
      </c>
      <c r="F41" s="3">
        <f>IF(F40=G40,"Equilibre","Desequilibre")</f>
      </c>
      <c r="G41" s="2"/>
    </row>
  </sheetData>
  <mergeCells count="1">
    <mergeCell ref="A1:G1"/>
  </mergeCells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0" customWidth="1"/>
    <col min="2" max="2" width="34" customWidth="1"/>
    <col min="3" max="3" width="14" customWidth="1"/>
    <col min="4" max="4" width="14" customWidth="1"/>
    <col min="5" max="5" width="15" customWidth="1"/>
    <col min="6" max="6" width="15" customWidth="1"/>
  </cols>
  <sheetData>
    <row r="1">
      <c r="A1" s="8" t="inlineStr">
        <is>
          <t xml:space="preserve">BALANCE DE VERIFICATION - Exercice 2025</t>
        </is>
      </c>
    </row>
    <row r="2">
      <c r="A2" s="1" t="inlineStr">
        <is>
          <t xml:space="preserve">Code</t>
        </is>
      </c>
      <c r="B2" s="1" t="inlineStr">
        <is>
          <t xml:space="preserve">Compte</t>
        </is>
      </c>
      <c r="C2" s="1" t="inlineStr">
        <is>
          <t xml:space="preserve">Total debit</t>
        </is>
      </c>
      <c r="D2" s="1" t="inlineStr">
        <is>
          <t xml:space="preserve">Total credit</t>
        </is>
      </c>
      <c r="E2" s="1" t="inlineStr">
        <is>
          <t xml:space="preserve">Solde debiteur</t>
        </is>
      </c>
      <c r="F2" s="1" t="inlineStr">
        <is>
          <t xml:space="preserve">Solde crediteur</t>
        </is>
      </c>
    </row>
    <row r="3">
      <c r="A3" s="9">
        <v>1000</v>
      </c>
      <c r="B3" s="2" t="inlineStr">
        <is>
          <t xml:space="preserve">Tresorerie</t>
        </is>
      </c>
      <c r="C3" s="4">
        <f>SUMIF(Journal!$C:$C,A3,Journal!$F:$F)</f>
      </c>
      <c r="D3" s="4">
        <f>SUMIF(Journal!$C:$C,A3,Journal!$G:$G)</f>
      </c>
      <c r="E3" s="4">
        <f>IF(C3-D3&gt;0,C3-D3,0)</f>
      </c>
      <c r="F3" s="4">
        <f>IF(D3-C3&gt;0,D3-C3,0)</f>
      </c>
    </row>
    <row r="4">
      <c r="A4" s="9">
        <v>1100</v>
      </c>
      <c r="B4" s="2" t="inlineStr">
        <is>
          <t xml:space="preserve">Clients</t>
        </is>
      </c>
      <c r="C4" s="4">
        <f>SUMIF(Journal!$C:$C,A4,Journal!$F:$F)</f>
      </c>
      <c r="D4" s="4">
        <f>SUMIF(Journal!$C:$C,A4,Journal!$G:$G)</f>
      </c>
      <c r="E4" s="4">
        <f>IF(C4-D4&gt;0,C4-D4,0)</f>
      </c>
      <c r="F4" s="4">
        <f>IF(D4-C4&gt;0,D4-C4,0)</f>
      </c>
    </row>
    <row r="5">
      <c r="A5" s="9">
        <v>1200</v>
      </c>
      <c r="B5" s="2" t="inlineStr">
        <is>
          <t xml:space="preserve">Stocks</t>
        </is>
      </c>
      <c r="C5" s="4">
        <f>SUMIF(Journal!$C:$C,A5,Journal!$F:$F)</f>
      </c>
      <c r="D5" s="4">
        <f>SUMIF(Journal!$C:$C,A5,Journal!$G:$G)</f>
      </c>
      <c r="E5" s="4">
        <f>IF(C5-D5&gt;0,C5-D5,0)</f>
      </c>
      <c r="F5" s="4">
        <f>IF(D5-C5&gt;0,D5-C5,0)</f>
      </c>
    </row>
    <row r="6">
      <c r="A6" s="9">
        <v>1500</v>
      </c>
      <c r="B6" s="2" t="inlineStr">
        <is>
          <t xml:space="preserve">Immobilisations corporelles (brut)</t>
        </is>
      </c>
      <c r="C6" s="4">
        <f>SUMIF(Journal!$C:$C,A6,Journal!$F:$F)</f>
      </c>
      <c r="D6" s="4">
        <f>SUMIF(Journal!$C:$C,A6,Journal!$G:$G)</f>
      </c>
      <c r="E6" s="4">
        <f>IF(C6-D6&gt;0,C6-D6,0)</f>
      </c>
      <c r="F6" s="4">
        <f>IF(D6-C6&gt;0,D6-C6,0)</f>
      </c>
    </row>
    <row r="7">
      <c r="A7" s="9">
        <v>1590</v>
      </c>
      <c r="B7" s="2" t="inlineStr">
        <is>
          <t xml:space="preserve">Amortissements cumules</t>
        </is>
      </c>
      <c r="C7" s="4">
        <f>SUMIF(Journal!$C:$C,A7,Journal!$F:$F)</f>
      </c>
      <c r="D7" s="4">
        <f>SUMIF(Journal!$C:$C,A7,Journal!$G:$G)</f>
      </c>
      <c r="E7" s="4">
        <f>IF(C7-D7&gt;0,C7-D7,0)</f>
      </c>
      <c r="F7" s="4">
        <f>IF(D7-C7&gt;0,D7-C7,0)</f>
      </c>
    </row>
    <row r="8">
      <c r="A8" s="9">
        <v>2000</v>
      </c>
      <c r="B8" s="2" t="inlineStr">
        <is>
          <t xml:space="preserve">Fournisseurs</t>
        </is>
      </c>
      <c r="C8" s="4">
        <f>SUMIF(Journal!$C:$C,A8,Journal!$F:$F)</f>
      </c>
      <c r="D8" s="4">
        <f>SUMIF(Journal!$C:$C,A8,Journal!$G:$G)</f>
      </c>
      <c r="E8" s="4">
        <f>IF(C8-D8&gt;0,C8-D8,0)</f>
      </c>
      <c r="F8" s="4">
        <f>IF(D8-C8&gt;0,D8-C8,0)</f>
      </c>
    </row>
    <row r="9">
      <c r="A9" s="9">
        <v>2100</v>
      </c>
      <c r="B9" s="2" t="inlineStr">
        <is>
          <t xml:space="preserve">Impot a payer</t>
        </is>
      </c>
      <c r="C9" s="4">
        <f>SUMIF(Journal!$C:$C,A9,Journal!$F:$F)</f>
      </c>
      <c r="D9" s="4">
        <f>SUMIF(Journal!$C:$C,A9,Journal!$G:$G)</f>
      </c>
      <c r="E9" s="4">
        <f>IF(C9-D9&gt;0,C9-D9,0)</f>
      </c>
      <c r="F9" s="4">
        <f>IF(D9-C9&gt;0,D9-C9,0)</f>
      </c>
    </row>
    <row r="10">
      <c r="A10" s="9">
        <v>2500</v>
      </c>
      <c r="B10" s="2" t="inlineStr">
        <is>
          <t xml:space="preserve">Emprunts</t>
        </is>
      </c>
      <c r="C10" s="4">
        <f>SUMIF(Journal!$C:$C,A10,Journal!$F:$F)</f>
      </c>
      <c r="D10" s="4">
        <f>SUMIF(Journal!$C:$C,A10,Journal!$G:$G)</f>
      </c>
      <c r="E10" s="4">
        <f>IF(C10-D10&gt;0,C10-D10,0)</f>
      </c>
      <c r="F10" s="4">
        <f>IF(D10-C10&gt;0,D10-C10,0)</f>
      </c>
    </row>
    <row r="11">
      <c r="A11" s="9">
        <v>3000</v>
      </c>
      <c r="B11" s="2" t="inlineStr">
        <is>
          <t xml:space="preserve">Capital social</t>
        </is>
      </c>
      <c r="C11" s="4">
        <f>SUMIF(Journal!$C:$C,A11,Journal!$F:$F)</f>
      </c>
      <c r="D11" s="4">
        <f>SUMIF(Journal!$C:$C,A11,Journal!$G:$G)</f>
      </c>
      <c r="E11" s="4">
        <f>IF(C11-D11&gt;0,C11-D11,0)</f>
      </c>
      <c r="F11" s="4">
        <f>IF(D11-C11&gt;0,D11-C11,0)</f>
      </c>
    </row>
    <row r="12">
      <c r="A12" s="9">
        <v>3100</v>
      </c>
      <c r="B12" s="2" t="inlineStr">
        <is>
          <t xml:space="preserve">Resultats non distribues (ouv.)</t>
        </is>
      </c>
      <c r="C12" s="4">
        <f>SUMIF(Journal!$C:$C,A12,Journal!$F:$F)</f>
      </c>
      <c r="D12" s="4">
        <f>SUMIF(Journal!$C:$C,A12,Journal!$G:$G)</f>
      </c>
      <c r="E12" s="4">
        <f>IF(C12-D12&gt;0,C12-D12,0)</f>
      </c>
      <c r="F12" s="4">
        <f>IF(D12-C12&gt;0,D12-C12,0)</f>
      </c>
    </row>
    <row r="13">
      <c r="A13" s="9">
        <v>4000</v>
      </c>
      <c r="B13" s="2" t="inlineStr">
        <is>
          <t xml:space="preserve">Produits (ventes)</t>
        </is>
      </c>
      <c r="C13" s="4">
        <f>SUMIF(Journal!$C:$C,A13,Journal!$F:$F)</f>
      </c>
      <c r="D13" s="4">
        <f>SUMIF(Journal!$C:$C,A13,Journal!$G:$G)</f>
      </c>
      <c r="E13" s="4">
        <f>IF(C13-D13&gt;0,C13-D13,0)</f>
      </c>
      <c r="F13" s="4">
        <f>IF(D13-C13&gt;0,D13-C13,0)</f>
      </c>
    </row>
    <row r="14">
      <c r="A14" s="9">
        <v>5000</v>
      </c>
      <c r="B14" s="2" t="inlineStr">
        <is>
          <t xml:space="preserve">Cout des ventes</t>
        </is>
      </c>
      <c r="C14" s="4">
        <f>SUMIF(Journal!$C:$C,A14,Journal!$F:$F)</f>
      </c>
      <c r="D14" s="4">
        <f>SUMIF(Journal!$C:$C,A14,Journal!$G:$G)</f>
      </c>
      <c r="E14" s="4">
        <f>IF(C14-D14&gt;0,C14-D14,0)</f>
      </c>
      <c r="F14" s="4">
        <f>IF(D14-C14&gt;0,D14-C14,0)</f>
      </c>
    </row>
    <row r="15">
      <c r="A15" s="9">
        <v>5100</v>
      </c>
      <c r="B15" s="2" t="inlineStr">
        <is>
          <t xml:space="preserve">Charges de personnel</t>
        </is>
      </c>
      <c r="C15" s="4">
        <f>SUMIF(Journal!$C:$C,A15,Journal!$F:$F)</f>
      </c>
      <c r="D15" s="4">
        <f>SUMIF(Journal!$C:$C,A15,Journal!$G:$G)</f>
      </c>
      <c r="E15" s="4">
        <f>IF(C15-D15&gt;0,C15-D15,0)</f>
      </c>
      <c r="F15" s="4">
        <f>IF(D15-C15&gt;0,D15-C15,0)</f>
      </c>
    </row>
    <row r="16">
      <c r="A16" s="9">
        <v>5200</v>
      </c>
      <c r="B16" s="2" t="inlineStr">
        <is>
          <t xml:space="preserve">Dotations amortissements</t>
        </is>
      </c>
      <c r="C16" s="4">
        <f>SUMIF(Journal!$C:$C,A16,Journal!$F:$F)</f>
      </c>
      <c r="D16" s="4">
        <f>SUMIF(Journal!$C:$C,A16,Journal!$G:$G)</f>
      </c>
      <c r="E16" s="4">
        <f>IF(C16-D16&gt;0,C16-D16,0)</f>
      </c>
      <c r="F16" s="4">
        <f>IF(D16-C16&gt;0,D16-C16,0)</f>
      </c>
    </row>
    <row r="17">
      <c r="A17" s="9">
        <v>5300</v>
      </c>
      <c r="B17" s="2" t="inlineStr">
        <is>
          <t xml:space="preserve">Autres charges</t>
        </is>
      </c>
      <c r="C17" s="4">
        <f>SUMIF(Journal!$C:$C,A17,Journal!$F:$F)</f>
      </c>
      <c r="D17" s="4">
        <f>SUMIF(Journal!$C:$C,A17,Journal!$G:$G)</f>
      </c>
      <c r="E17" s="4">
        <f>IF(C17-D17&gt;0,C17-D17,0)</f>
      </c>
      <c r="F17" s="4">
        <f>IF(D17-C17&gt;0,D17-C17,0)</f>
      </c>
    </row>
    <row r="18">
      <c r="A18" s="9">
        <v>6000</v>
      </c>
      <c r="B18" s="2" t="inlineStr">
        <is>
          <t xml:space="preserve">Charges financieres</t>
        </is>
      </c>
      <c r="C18" s="4">
        <f>SUMIF(Journal!$C:$C,A18,Journal!$F:$F)</f>
      </c>
      <c r="D18" s="4">
        <f>SUMIF(Journal!$C:$C,A18,Journal!$G:$G)</f>
      </c>
      <c r="E18" s="4">
        <f>IF(C18-D18&gt;0,C18-D18,0)</f>
      </c>
      <c r="F18" s="4">
        <f>IF(D18-C18&gt;0,D18-C18,0)</f>
      </c>
    </row>
    <row r="19">
      <c r="A19" s="9">
        <v>7000</v>
      </c>
      <c r="B19" s="2" t="inlineStr">
        <is>
          <t xml:space="preserve">Impot sur le resultat</t>
        </is>
      </c>
      <c r="C19" s="4">
        <f>SUMIF(Journal!$C:$C,A19,Journal!$F:$F)</f>
      </c>
      <c r="D19" s="4">
        <f>SUMIF(Journal!$C:$C,A19,Journal!$G:$G)</f>
      </c>
      <c r="E19" s="4">
        <f>IF(C19-D19&gt;0,C19-D19,0)</f>
      </c>
      <c r="F19" s="4">
        <f>IF(D19-C19&gt;0,D19-C19,0)</f>
      </c>
    </row>
    <row r="20">
      <c r="A20" s="2"/>
      <c r="B20" s="3" t="inlineStr">
        <is>
          <t xml:space="preserve">TOTAUX</t>
        </is>
      </c>
      <c r="C20" s="5">
        <f>SUM(C3:C19)</f>
      </c>
      <c r="D20" s="5">
        <f>SUM(D3:D19)</f>
      </c>
      <c r="E20" s="5">
        <f>SUM(E3:E19)</f>
      </c>
      <c r="F20" s="5">
        <f>SUM(F3:F19)</f>
      </c>
    </row>
  </sheetData>
  <mergeCells count="1">
    <mergeCell ref="A1:F1"/>
  </mergeCells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18" customWidth="1"/>
  </cols>
  <sheetData>
    <row r="1">
      <c r="A1" s="8" t="inlineStr">
        <is>
          <t xml:space="preserve">COMPTE DE RESULTAT (IFRS) - Exercice 2025</t>
        </is>
      </c>
    </row>
    <row r="2">
      <c r="A2" s="1" t="inlineStr">
        <is>
          <t xml:space="preserve">Poste</t>
        </is>
      </c>
      <c r="B2" s="1" t="inlineStr">
        <is>
          <t xml:space="preserve">Montant</t>
        </is>
      </c>
    </row>
    <row r="3">
      <c r="A3" s="2" t="inlineStr">
        <is>
          <t xml:space="preserve">Produits (chiffre d'affaires)</t>
        </is>
      </c>
      <c r="B3" s="4">
        <f>Balance!F13</f>
      </c>
    </row>
    <row r="4">
      <c r="A4" s="2" t="inlineStr">
        <is>
          <t xml:space="preserve">Cout des ventes</t>
        </is>
      </c>
      <c r="B4" s="4">
        <f>-Balance!E14</f>
      </c>
    </row>
    <row r="5">
      <c r="A5" s="3" t="inlineStr">
        <is>
          <t xml:space="preserve">Marge brute</t>
        </is>
      </c>
      <c r="B5" s="5">
        <f>B3+B4</f>
      </c>
    </row>
    <row r="6">
      <c r="A6" s="2" t="inlineStr">
        <is>
          <t xml:space="preserve">Charges de personnel</t>
        </is>
      </c>
      <c r="B6" s="4">
        <f>-Balance!E15</f>
      </c>
    </row>
    <row r="7">
      <c r="A7" s="2" t="inlineStr">
        <is>
          <t xml:space="preserve">Dotations aux amortissements</t>
        </is>
      </c>
      <c r="B7" s="4">
        <f>-Balance!E16</f>
      </c>
    </row>
    <row r="8">
      <c r="A8" s="2" t="inlineStr">
        <is>
          <t xml:space="preserve">Autres charges</t>
        </is>
      </c>
      <c r="B8" s="4">
        <f>-Balance!E17</f>
      </c>
    </row>
    <row r="9">
      <c r="A9" s="3" t="inlineStr">
        <is>
          <t xml:space="preserve">Resultat operationnel</t>
        </is>
      </c>
      <c r="B9" s="5">
        <f>B5+B6+B7+B8</f>
      </c>
    </row>
    <row r="10">
      <c r="A10" s="2" t="inlineStr">
        <is>
          <t xml:space="preserve">Charges financieres</t>
        </is>
      </c>
      <c r="B10" s="4">
        <f>-Balance!E18</f>
      </c>
    </row>
    <row r="11">
      <c r="A11" s="3" t="inlineStr">
        <is>
          <t xml:space="preserve">Resultat avant impot</t>
        </is>
      </c>
      <c r="B11" s="5">
        <f>B9+B10</f>
      </c>
    </row>
    <row r="12">
      <c r="A12" s="2" t="inlineStr">
        <is>
          <t xml:space="preserve">Impot sur le resultat</t>
        </is>
      </c>
      <c r="B12" s="4">
        <f>-Balance!E19</f>
      </c>
    </row>
    <row r="13">
      <c r="A13" s="3" t="inlineStr">
        <is>
          <t xml:space="preserve">Resultat net de l'exercice</t>
        </is>
      </c>
      <c r="B13" s="5">
        <f>B11+B12</f>
      </c>
    </row>
  </sheetData>
  <mergeCells count="1">
    <mergeCell ref="A1:B1"/>
  </mergeCells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4" customWidth="1"/>
    <col min="2" max="2" width="18" customWidth="1"/>
  </cols>
  <sheetData>
    <row r="1">
      <c r="A1" s="8" t="inlineStr">
        <is>
          <t xml:space="preserve">ETAT DE LA SITUATION FINANCIERE (BILAN IFRS) au 31/12/2025</t>
        </is>
      </c>
    </row>
    <row r="2">
      <c r="A2" s="1" t="inlineStr">
        <is>
          <t xml:space="preserve">Poste</t>
        </is>
      </c>
      <c r="B2" s="1" t="inlineStr">
        <is>
          <t xml:space="preserve">Montant</t>
        </is>
      </c>
    </row>
    <row r="3">
      <c r="A3" s="3" t="inlineStr">
        <is>
          <t xml:space="preserve">ACTIF</t>
        </is>
      </c>
      <c r="B3" s="3"/>
    </row>
    <row r="4">
      <c r="A4" s="3" t="inlineStr">
        <is>
          <t xml:space="preserve">Actifs non courants</t>
        </is>
      </c>
      <c r="B4" s="3"/>
    </row>
    <row r="5">
      <c r="A5" s="2" t="inlineStr">
        <is>
          <t xml:space="preserve">Immobilisations corporelles (nettes)</t>
        </is>
      </c>
      <c r="B5" s="4">
        <f>Balance!E6-Balance!F7</f>
      </c>
    </row>
    <row r="6">
      <c r="A6" s="3" t="inlineStr">
        <is>
          <t xml:space="preserve">Total actifs non courants</t>
        </is>
      </c>
      <c r="B6" s="5">
        <f>B5</f>
      </c>
    </row>
    <row r="7">
      <c r="A7" s="3" t="inlineStr">
        <is>
          <t xml:space="preserve">Actifs courants</t>
        </is>
      </c>
      <c r="B7" s="3"/>
    </row>
    <row r="8">
      <c r="A8" s="2" t="inlineStr">
        <is>
          <t xml:space="preserve">Stocks</t>
        </is>
      </c>
      <c r="B8" s="4">
        <f>Balance!E5</f>
      </c>
    </row>
    <row r="9">
      <c r="A9" s="2" t="inlineStr">
        <is>
          <t xml:space="preserve">Clients et autres debiteurs</t>
        </is>
      </c>
      <c r="B9" s="4">
        <f>Balance!E4</f>
      </c>
    </row>
    <row r="10">
      <c r="A10" s="2" t="inlineStr">
        <is>
          <t xml:space="preserve">Tresorerie et equivalents</t>
        </is>
      </c>
      <c r="B10" s="4">
        <f>Balance!E3</f>
      </c>
    </row>
    <row r="11">
      <c r="A11" s="3" t="inlineStr">
        <is>
          <t xml:space="preserve">Total actifs courants</t>
        </is>
      </c>
      <c r="B11" s="5">
        <f>B8+B9+B10</f>
      </c>
    </row>
    <row r="12">
      <c r="A12" s="3" t="inlineStr">
        <is>
          <t xml:space="preserve">TOTAL ACTIF</t>
        </is>
      </c>
      <c r="B12" s="5">
        <f>B6+B11</f>
      </c>
    </row>
    <row r="13">
      <c r="A13" s="2"/>
      <c r="B13" s="2"/>
    </row>
    <row r="14">
      <c r="A14" s="3" t="inlineStr">
        <is>
          <t xml:space="preserve">CAPITAUX PROPRES ET PASSIFS</t>
        </is>
      </c>
      <c r="B14" s="3"/>
    </row>
    <row r="15">
      <c r="A15" s="3" t="inlineStr">
        <is>
          <t xml:space="preserve">Capitaux propres</t>
        </is>
      </c>
      <c r="B15" s="3"/>
    </row>
    <row r="16">
      <c r="A16" s="2" t="inlineStr">
        <is>
          <t xml:space="preserve">Capital social</t>
        </is>
      </c>
      <c r="B16" s="4">
        <f>Balance!F11</f>
      </c>
    </row>
    <row r="17">
      <c r="A17" s="2" t="inlineStr">
        <is>
          <t xml:space="preserve">Resultats non distribues</t>
        </is>
      </c>
      <c r="B17" s="4">
        <f>Balance!F12+Resultat!B13</f>
      </c>
    </row>
    <row r="18">
      <c r="A18" s="3" t="inlineStr">
        <is>
          <t xml:space="preserve">Total capitaux propres</t>
        </is>
      </c>
      <c r="B18" s="5">
        <f>B16+B17</f>
      </c>
    </row>
    <row r="19">
      <c r="A19" s="3" t="inlineStr">
        <is>
          <t xml:space="preserve">Passifs non courants</t>
        </is>
      </c>
      <c r="B19" s="3"/>
    </row>
    <row r="20">
      <c r="A20" s="2" t="inlineStr">
        <is>
          <t xml:space="preserve">Emprunts</t>
        </is>
      </c>
      <c r="B20" s="4">
        <f>Balance!F10</f>
      </c>
    </row>
    <row r="21">
      <c r="A21" s="3" t="inlineStr">
        <is>
          <t xml:space="preserve">Total passifs non courants</t>
        </is>
      </c>
      <c r="B21" s="5">
        <f>B20</f>
      </c>
    </row>
    <row r="22">
      <c r="A22" s="3" t="inlineStr">
        <is>
          <t xml:space="preserve">Passifs courants</t>
        </is>
      </c>
      <c r="B22" s="3"/>
    </row>
    <row r="23">
      <c r="A23" s="2" t="inlineStr">
        <is>
          <t xml:space="preserve">Fournisseurs</t>
        </is>
      </c>
      <c r="B23" s="4">
        <f>Balance!F8</f>
      </c>
    </row>
    <row r="24">
      <c r="A24" s="2" t="inlineStr">
        <is>
          <t xml:space="preserve">Impot a payer</t>
        </is>
      </c>
      <c r="B24" s="4">
        <f>Balance!F9</f>
      </c>
    </row>
    <row r="25">
      <c r="A25" s="3" t="inlineStr">
        <is>
          <t xml:space="preserve">Total passifs courants</t>
        </is>
      </c>
      <c r="B25" s="5">
        <f>B23+B24</f>
      </c>
    </row>
    <row r="26">
      <c r="A26" s="3" t="inlineStr">
        <is>
          <t xml:space="preserve">TOTAL CAPITAUX PROPRES ET PASSIFS</t>
        </is>
      </c>
      <c r="B26" s="5">
        <f>B18+B21+B25</f>
      </c>
    </row>
    <row r="27">
      <c r="A27" s="3" t="inlineStr">
        <is>
          <t xml:space="preserve">Controle (Actif - Passif)</t>
        </is>
      </c>
      <c r="B27" s="5">
        <f>B12-B26</f>
      </c>
    </row>
  </sheetData>
  <mergeCells count="1">
    <mergeCell ref="A1:B1"/>
  </mergeCells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0" customWidth="1"/>
    <col min="2" max="2" width="16" customWidth="1"/>
    <col min="3" max="3" width="3" customWidth="1"/>
    <col min="4" max="4" width="26" customWidth="1"/>
    <col min="5" max="5" width="14" customWidth="1"/>
  </cols>
  <sheetData>
    <row r="1">
      <c r="A1" s="8" t="inlineStr">
        <is>
          <t xml:space="preserve">TABLEAU DES FLUX DE TRESORERIE (indirecte) - 2025</t>
        </is>
      </c>
    </row>
    <row r="2">
      <c r="A2" s="1" t="inlineStr">
        <is>
          <t xml:space="preserve">Poste</t>
        </is>
      </c>
      <c r="B2" s="1" t="inlineStr">
        <is>
          <t xml:space="preserve">Montant</t>
        </is>
      </c>
      <c r="C2" s="2"/>
      <c r="D2" s="1" t="inlineStr">
        <is>
          <t xml:space="preserve">Soldes d'ouverture (01/01)</t>
        </is>
      </c>
      <c r="E2" s="1" t="inlineStr">
        <is>
          <t xml:space="preserve">Valeur</t>
        </is>
      </c>
    </row>
    <row r="3">
      <c r="A3" s="3" t="inlineStr">
        <is>
          <t xml:space="preserve">Flux lies a l'exploitation</t>
        </is>
      </c>
      <c r="B3" s="3"/>
      <c r="C3" s="2"/>
      <c r="D3" s="2" t="inlineStr">
        <is>
          <t xml:space="preserve">Clients</t>
        </is>
      </c>
      <c r="E3" s="4">
        <v>30000</v>
      </c>
    </row>
    <row r="4">
      <c r="A4" s="2" t="inlineStr">
        <is>
          <t xml:space="preserve">Resultat avant impot</t>
        </is>
      </c>
      <c r="B4" s="4">
        <f>Resultat!B11</f>
      </c>
      <c r="C4" s="2"/>
      <c r="D4" s="2" t="inlineStr">
        <is>
          <t xml:space="preserve">Stocks</t>
        </is>
      </c>
      <c r="E4" s="4">
        <v>40000</v>
      </c>
    </row>
    <row r="5">
      <c r="A5" s="2" t="inlineStr">
        <is>
          <t xml:space="preserve">+ Dotations aux amortissements</t>
        </is>
      </c>
      <c r="B5" s="4">
        <f>Balance!E16</f>
      </c>
      <c r="C5" s="2"/>
      <c r="D5" s="2" t="inlineStr">
        <is>
          <t xml:space="preserve">Fournisseurs</t>
        </is>
      </c>
      <c r="E5" s="4">
        <v>25000</v>
      </c>
    </row>
    <row r="6">
      <c r="A6" s="2" t="inlineStr">
        <is>
          <t xml:space="preserve">+ Charges financieres</t>
        </is>
      </c>
      <c r="B6" s="4">
        <f>Balance!E18</f>
      </c>
      <c r="C6" s="2"/>
      <c r="D6" s="2" t="inlineStr">
        <is>
          <t xml:space="preserve">Immobilisations (brut)</t>
        </is>
      </c>
      <c r="E6" s="4">
        <v>200000</v>
      </c>
    </row>
    <row r="7">
      <c r="A7" s="3" t="inlineStr">
        <is>
          <t xml:space="preserve">Resultat avant variation du BFR</t>
        </is>
      </c>
      <c r="B7" s="5">
        <f>B4+B5+B6</f>
      </c>
      <c r="C7" s="2"/>
      <c r="D7" s="2" t="inlineStr">
        <is>
          <t xml:space="preserve">Emprunts</t>
        </is>
      </c>
      <c r="E7" s="4">
        <v>80000</v>
      </c>
    </row>
    <row r="8">
      <c r="A8" s="2" t="inlineStr">
        <is>
          <t xml:space="preserve">Variation des clients</t>
        </is>
      </c>
      <c r="B8" s="4">
        <f>-(Balance!E4-E3)</f>
      </c>
      <c r="C8" s="2"/>
      <c r="D8" s="2" t="inlineStr">
        <is>
          <t xml:space="preserve">Tresorerie</t>
        </is>
      </c>
      <c r="E8" s="4">
        <v>50000</v>
      </c>
    </row>
    <row r="9">
      <c r="A9" s="2" t="inlineStr">
        <is>
          <t xml:space="preserve">Variation des stocks</t>
        </is>
      </c>
      <c r="B9" s="4">
        <f>-(Balance!E5-E4)</f>
      </c>
      <c r="C9" s="2"/>
      <c r="D9" s="2" t="inlineStr">
        <is>
          <t xml:space="preserve">Resultats non distribues</t>
        </is>
      </c>
      <c r="E9" s="4">
        <v>55000</v>
      </c>
    </row>
    <row r="10">
      <c r="A10" s="2" t="inlineStr">
        <is>
          <t xml:space="preserve">Variation des fournisseurs</t>
        </is>
      </c>
      <c r="B10" s="4">
        <f>Balance!F8-E5</f>
      </c>
      <c r="C10" s="2"/>
    </row>
    <row r="11">
      <c r="A11" s="3" t="inlineStr">
        <is>
          <t xml:space="preserve">Tresorerie generee par l'exploitation</t>
        </is>
      </c>
      <c r="B11" s="5">
        <f>B7+B8+B9+B10</f>
      </c>
      <c r="C11" s="2"/>
    </row>
    <row r="12">
      <c r="A12" s="2" t="inlineStr">
        <is>
          <t xml:space="preserve">Interets payes</t>
        </is>
      </c>
      <c r="B12" s="4">
        <f>-Balance!E18</f>
      </c>
      <c r="C12" s="2"/>
    </row>
    <row r="13">
      <c r="A13" s="2" t="inlineStr">
        <is>
          <t xml:space="preserve">Impot paye</t>
        </is>
      </c>
      <c r="B13" s="4">
        <f>-(Balance!E19-Balance!F9)</f>
      </c>
      <c r="C13" s="2"/>
    </row>
    <row r="14">
      <c r="A14" s="3" t="inlineStr">
        <is>
          <t xml:space="preserve">Flux net d'exploitation</t>
        </is>
      </c>
      <c r="B14" s="5">
        <f>B11+B12+B13</f>
      </c>
      <c r="C14" s="2"/>
    </row>
    <row r="15">
      <c r="A15" s="3" t="inlineStr">
        <is>
          <t xml:space="preserve">Flux lies a l'investissement</t>
        </is>
      </c>
      <c r="B15" s="3"/>
      <c r="C15" s="2"/>
    </row>
    <row r="16">
      <c r="A16" s="2" t="inlineStr">
        <is>
          <t xml:space="preserve">Acquisition d'immobilisations</t>
        </is>
      </c>
      <c r="B16" s="4">
        <f>-(Balance!E6-E6)</f>
      </c>
      <c r="C16" s="2"/>
    </row>
    <row r="17">
      <c r="A17" s="3" t="inlineStr">
        <is>
          <t xml:space="preserve">Flux net d'investissement</t>
        </is>
      </c>
      <c r="B17" s="5">
        <f>B16</f>
      </c>
      <c r="C17" s="2"/>
    </row>
    <row r="18">
      <c r="A18" s="3" t="inlineStr">
        <is>
          <t xml:space="preserve">Flux lies au financement</t>
        </is>
      </c>
      <c r="B18" s="3"/>
      <c r="C18" s="2"/>
    </row>
    <row r="19">
      <c r="A19" s="2" t="inlineStr">
        <is>
          <t xml:space="preserve">Variation des emprunts</t>
        </is>
      </c>
      <c r="B19" s="4">
        <f>Balance!F10-E7</f>
      </c>
      <c r="C19" s="2"/>
    </row>
    <row r="20">
      <c r="A20" s="2" t="inlineStr">
        <is>
          <t xml:space="preserve">Dividendes verses</t>
        </is>
      </c>
      <c r="B20" s="4">
        <f>-(E9-Balance!F12)</f>
      </c>
      <c r="C20" s="2"/>
    </row>
    <row r="21">
      <c r="A21" s="3" t="inlineStr">
        <is>
          <t xml:space="preserve">Flux net de financement</t>
        </is>
      </c>
      <c r="B21" s="5">
        <f>B19+B20</f>
      </c>
      <c r="C21" s="2"/>
    </row>
    <row r="22">
      <c r="A22" s="3" t="inlineStr">
        <is>
          <t xml:space="preserve">Variation nette de tresorerie</t>
        </is>
      </c>
      <c r="B22" s="5">
        <f>B14+B17+B21</f>
      </c>
      <c r="C22" s="2"/>
    </row>
    <row r="23">
      <c r="A23" s="2" t="inlineStr">
        <is>
          <t xml:space="preserve">Tresorerie a l'ouverture</t>
        </is>
      </c>
      <c r="B23" s="4">
        <f>E8</f>
      </c>
      <c r="C23" s="2"/>
    </row>
    <row r="24">
      <c r="A24" s="3" t="inlineStr">
        <is>
          <t xml:space="preserve">Tresorerie a la cloture</t>
        </is>
      </c>
      <c r="B24" s="5">
        <f>B23+B22</f>
      </c>
      <c r="C24" s="2"/>
    </row>
    <row r="25">
      <c r="A25" s="3" t="inlineStr">
        <is>
          <t xml:space="preserve">Controle (vs bilan)</t>
        </is>
      </c>
      <c r="B25" s="5">
        <f>B24-Balance!E3</f>
      </c>
      <c r="C25" s="2"/>
    </row>
  </sheetData>
  <mergeCells count="1">
    <mergeCell ref="A1:E1"/>
  </mergeCells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34" customWidth="1"/>
    <col min="2" max="2" width="14" customWidth="1"/>
    <col min="3" max="3" width="54" customWidth="1"/>
  </cols>
  <sheetData>
    <row r="1">
      <c r="A1" s="8" t="inlineStr">
        <is>
          <t xml:space="preserve">RATIOS FINANCIERS - Exercice 2025</t>
        </is>
      </c>
    </row>
    <row r="2">
      <c r="A2" s="1" t="inlineStr">
        <is>
          <t xml:space="preserve">Ratio</t>
        </is>
      </c>
      <c r="B2" s="1" t="inlineStr">
        <is>
          <t xml:space="preserve">Valeur</t>
        </is>
      </c>
      <c r="C2" s="1" t="inlineStr">
        <is>
          <t xml:space="preserve">Formule / interpretation</t>
        </is>
      </c>
    </row>
    <row r="3">
      <c r="A3" s="2" t="inlineStr">
        <is>
          <t xml:space="preserve">Liquidite generale</t>
        </is>
      </c>
      <c r="B3" s="7">
        <f>Bilan!B11/Bilan!B25</f>
      </c>
      <c r="C3" s="2" t="inlineStr">
        <is>
          <t xml:space="preserve">Actifs courants / Passifs courants</t>
        </is>
      </c>
    </row>
    <row r="4">
      <c r="A4" s="2" t="inlineStr">
        <is>
          <t xml:space="preserve">Liquidite reduite (quick ratio)</t>
        </is>
      </c>
      <c r="B4" s="7">
        <f>(Bilan!B11-Bilan!B8)/Bilan!B25</f>
      </c>
      <c r="C4" s="2" t="inlineStr">
        <is>
          <t xml:space="preserve">(Actifs courants - Stocks) / Passifs courants</t>
        </is>
      </c>
    </row>
    <row r="5">
      <c r="A5" s="2" t="inlineStr">
        <is>
          <t xml:space="preserve">Autonomie financiere</t>
        </is>
      </c>
      <c r="B5" s="6">
        <f>Bilan!B18/Bilan!B12</f>
      </c>
      <c r="C5" s="2" t="inlineStr">
        <is>
          <t xml:space="preserve">Capitaux propres / Total actif</t>
        </is>
      </c>
    </row>
    <row r="6">
      <c r="A6" s="2" t="inlineStr">
        <is>
          <t xml:space="preserve">Endettement (Dettes fin./CP)</t>
        </is>
      </c>
      <c r="B6" s="7">
        <f>Bilan!B20/Bilan!B18</f>
      </c>
      <c r="C6" s="2" t="inlineStr">
        <is>
          <t xml:space="preserve">Emprunts / Capitaux propres</t>
        </is>
      </c>
    </row>
    <row r="7">
      <c r="A7" s="2" t="inlineStr">
        <is>
          <t xml:space="preserve">Marge brute</t>
        </is>
      </c>
      <c r="B7" s="6">
        <f>Resultat!B5/Resultat!B3</f>
      </c>
      <c r="C7" s="2" t="inlineStr">
        <is>
          <t xml:space="preserve">Marge brute / Produits</t>
        </is>
      </c>
    </row>
    <row r="8">
      <c r="A8" s="2" t="inlineStr">
        <is>
          <t xml:space="preserve">Marge operationnelle</t>
        </is>
      </c>
      <c r="B8" s="6">
        <f>Resultat!B9/Resultat!B3</f>
      </c>
      <c r="C8" s="2" t="inlineStr">
        <is>
          <t xml:space="preserve">Resultat operationnel / Produits</t>
        </is>
      </c>
    </row>
    <row r="9">
      <c r="A9" s="2" t="inlineStr">
        <is>
          <t xml:space="preserve">Marge nette</t>
        </is>
      </c>
      <c r="B9" s="6">
        <f>Resultat!B13/Resultat!B3</f>
      </c>
      <c r="C9" s="2" t="inlineStr">
        <is>
          <t xml:space="preserve">Resultat net / Produits</t>
        </is>
      </c>
    </row>
    <row r="10">
      <c r="A10" s="2" t="inlineStr">
        <is>
          <t xml:space="preserve">ROE (rentabilite des CP)</t>
        </is>
      </c>
      <c r="B10" s="6">
        <f>Resultat!B13/Bilan!B18</f>
      </c>
      <c r="C10" s="2" t="inlineStr">
        <is>
          <t xml:space="preserve">Resultat net / Capitaux propres</t>
        </is>
      </c>
    </row>
    <row r="11">
      <c r="A11" s="2" t="inlineStr">
        <is>
          <t xml:space="preserve">ROA (rentabilite de l'actif)</t>
        </is>
      </c>
      <c r="B11" s="6">
        <f>Resultat!B13/Bilan!B12</f>
      </c>
      <c r="C11" s="2" t="inlineStr">
        <is>
          <t xml:space="preserve">Resultat net / Total actif</t>
        </is>
      </c>
    </row>
    <row r="12">
      <c r="A12" s="2" t="inlineStr">
        <is>
          <t xml:space="preserve">Rotation des stocks</t>
        </is>
      </c>
      <c r="B12" s="7">
        <f>-Resultat!B4/Bilan!B8</f>
      </c>
      <c r="C12" s="2" t="inlineStr">
        <is>
          <t xml:space="preserve">Cout des ventes / Stocks</t>
        </is>
      </c>
    </row>
    <row r="13">
      <c r="A13" s="2" t="inlineStr">
        <is>
          <t xml:space="preserve">Besoin en fonds de roulement</t>
        </is>
      </c>
      <c r="B13" s="4">
        <f>Bilan!B8+Bilan!B9-Bilan!B23</f>
      </c>
      <c r="C13" s="2" t="inlineStr">
        <is>
          <t xml:space="preserve">Stocks + Clients - Fournisseurs</t>
        </is>
      </c>
    </row>
  </sheetData>
  <mergeCells count="1">
    <mergeCell ref="A1:C1"/>
  </mergeCells>
</worksheet>
</file>