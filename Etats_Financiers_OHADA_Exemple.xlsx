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urnal" sheetId="1" r:id="rId1"/>
    <sheet name="Balance" sheetId="2" r:id="rId2"/>
    <sheet name="Resultat" sheetId="3" r:id="rId3"/>
    <sheet name="Bilan" sheetId="4" r:id="rId4"/>
    <sheet name="Tresorerie" sheetId="5" r:id="rId5"/>
    <sheet name="Notes" sheetId="6" r:id="rId6"/>
    <sheet name="Ratios" sheetId="7" r:id="rId7"/>
    <sheet name="Graphiques" sheetId="8" r:id="rId8"/>
  </sheets>
  <calcPr calcId="0" fullCalcOnLoad="1"/>
</workbook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name val="Calibri"/>
    </font>
    <font>
      <b/>
      <sz val="11"/>
      <color rgb="FFFFFFFF"/>
      <name val="Calibri"/>
    </font>
    <font>
      <sz val="11"/>
      <color rgb="FF111827"/>
      <name val="Calibri"/>
    </font>
    <font>
      <b/>
      <sz val="11"/>
      <color rgb="FF111827"/>
      <name val="Calibri"/>
    </font>
    <font>
      <b/>
      <sz val="14"/>
      <color rgb="FF15803D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5803D"/>
      </patternFill>
    </fill>
    <fill>
      <patternFill patternType="solid">
        <fgColor rgb="FFECFDF5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numFmtId="0" fontId="0" fillId="0" borderId="0"/>
  </cellStyleXfs>
  <cellXfs count="11">
    <xf numFmtId="0" fontId="0" fillId="0" borderId="0"/>
    <xf numFmtId="0" fontId="1" fillId="2" borderId="1" applyAlignment="1">
      <alignment vertical="center" horizontal="center" wrapText="1"/>
    </xf>
    <xf numFmtId="0" fontId="2" fillId="0" borderId="1" applyAlignment="1">
      <alignment vertical="center" horizontal="left"/>
    </xf>
    <xf numFmtId="0" fontId="3" fillId="3" borderId="1" applyAlignment="1">
      <alignment vertical="center" horizontal="left"/>
    </xf>
    <xf numFmtId="164" fontId="2" fillId="0" borderId="1" applyAlignment="1">
      <alignment vertical="center" horizontal="right"/>
    </xf>
    <xf numFmtId="164" fontId="3" fillId="3" borderId="1" applyAlignment="1">
      <alignment vertical="center" horizontal="right"/>
    </xf>
    <xf numFmtId="165" fontId="2" fillId="0" borderId="1" applyAlignment="1">
      <alignment vertical="center" horizontal="right"/>
    </xf>
    <xf numFmtId="166" fontId="2" fillId="0" borderId="1" applyAlignment="1">
      <alignment vertical="center" horizontal="right"/>
    </xf>
    <xf numFmtId="0" fontId="4" fillId="0" borderId="0" applyAlignment="1">
      <alignment vertical="center"/>
    </xf>
    <xf numFmtId="1" fontId="2" fillId="0" borderId="1" applyAlignment="1">
      <alignment vertical="center" horizontal="left"/>
    </xf>
    <xf numFmtId="0" fontId="2" fillId="0" borderId="1" applyAlignment="1">
      <alignment vertical="top" horizontal="left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Courbe de performance (CA et Resultat cumules)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CA cumule</c:v>
          </c:tx>
          <c:marker>
            <c:symbol val="circle"/>
            <c:size val="5"/>
          </c:marker>
          <c:cat>
            <c:strRef>
              <c:f>Graphiques!$B$4:$M$4</c:f>
              <c:strCache>
                <c:ptCount val="12"/>
                <c:pt idx="0">
                  <c:v>Janv</c:v>
                </c:pt>
                <c:pt idx="1">
                  <c:v>Fevr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Aout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Graphiques!$B$6:$M$6</c:f>
              <c:numCache>
                <c:formatCode>#,##0</c:formatCode>
                <c:ptCount val="12"/>
                <c:pt idx="0">
                  <c:v>0</c:v>
                </c:pt>
                <c:pt idx="1">
                  <c:v>300000</c:v>
                </c:pt>
                <c:pt idx="2">
                  <c:v>300000</c:v>
                </c:pt>
                <c:pt idx="3">
                  <c:v>300000</c:v>
                </c:pt>
                <c:pt idx="4">
                  <c:v>300000</c:v>
                </c:pt>
                <c:pt idx="5">
                  <c:v>300000</c:v>
                </c:pt>
                <c:pt idx="6">
                  <c:v>300000</c:v>
                </c:pt>
                <c:pt idx="7">
                  <c:v>300000</c:v>
                </c:pt>
                <c:pt idx="8">
                  <c:v>300000</c:v>
                </c:pt>
                <c:pt idx="9">
                  <c:v>300000</c:v>
                </c:pt>
                <c:pt idx="10">
                  <c:v>300000</c:v>
                </c:pt>
                <c:pt idx="11">
                  <c:v>300000</c:v>
                </c:pt>
              </c:numCache>
            </c:numRef>
          </c:val>
        </c:ser>
        <c:ser>
          <c:idx val="1"/>
          <c:order val="1"/>
          <c:tx>
            <c:v>Resultat cumule</c:v>
          </c:tx>
          <c:marker>
            <c:symbol val="circle"/>
            <c:size val="5"/>
          </c:marker>
          <c:cat>
            <c:strRef>
              <c:f>Graphiques!$B$4:$M$4</c:f>
              <c:strCache>
                <c:ptCount val="12"/>
                <c:pt idx="0">
                  <c:v>Janv</c:v>
                </c:pt>
                <c:pt idx="1">
                  <c:v>Fevr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Aout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Graphiques!$B$7:$M$7</c:f>
              <c:numCache>
                <c:formatCode>#,##0</c:formatCode>
                <c:ptCount val="12"/>
                <c:pt idx="0">
                  <c:v>0</c:v>
                </c:pt>
                <c:pt idx="1">
                  <c:v>300000</c:v>
                </c:pt>
                <c:pt idx="2">
                  <c:v>300000</c:v>
                </c:pt>
                <c:pt idx="3">
                  <c:v>140000</c:v>
                </c:pt>
                <c:pt idx="4">
                  <c:v>140000</c:v>
                </c:pt>
                <c:pt idx="5">
                  <c:v>140000</c:v>
                </c:pt>
                <c:pt idx="6">
                  <c:v>80000</c:v>
                </c:pt>
                <c:pt idx="7">
                  <c:v>55000</c:v>
                </c:pt>
                <c:pt idx="8">
                  <c:v>55000</c:v>
                </c:pt>
                <c:pt idx="9">
                  <c:v>47000</c:v>
                </c:pt>
                <c:pt idx="10">
                  <c:v>47000</c:v>
                </c:pt>
                <c:pt idx="11">
                  <c:v>5000</c:v>
                </c:pt>
              </c:numCache>
            </c:numRef>
          </c:val>
        </c:ser>
        <c:marker val="1"/>
        <c:axId val="111111111"/>
        <c:axId val="222222222"/>
      </c:line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legend>
      <c:legendPos val="b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Evolution de la tresorerie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Tresorerie</c:v>
          </c:tx>
          <c:marker>
            <c:symbol val="circle"/>
            <c:size val="5"/>
          </c:marker>
          <c:cat>
            <c:strRef>
              <c:f>Graphiques!$B$4:$M$4</c:f>
              <c:strCache>
                <c:ptCount val="12"/>
                <c:pt idx="0">
                  <c:v>Janv</c:v>
                </c:pt>
                <c:pt idx="1">
                  <c:v>Fevr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Aout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Graphiques!$B$8:$M$8</c:f>
              <c:numCache>
                <c:formatCode>#,##0</c:formatCode>
                <c:ptCount val="12"/>
                <c:pt idx="0">
                  <c:v>50000</c:v>
                </c:pt>
                <c:pt idx="1">
                  <c:v>50000</c:v>
                </c:pt>
                <c:pt idx="2">
                  <c:v>340000</c:v>
                </c:pt>
                <c:pt idx="3">
                  <c:v>340000</c:v>
                </c:pt>
                <c:pt idx="4">
                  <c:v>340000</c:v>
                </c:pt>
                <c:pt idx="5">
                  <c:v>340000</c:v>
                </c:pt>
                <c:pt idx="6">
                  <c:v>115000</c:v>
                </c:pt>
                <c:pt idx="7">
                  <c:v>90000</c:v>
                </c:pt>
                <c:pt idx="8">
                  <c:v>90000</c:v>
                </c:pt>
                <c:pt idx="9">
                  <c:v>52000</c:v>
                </c:pt>
                <c:pt idx="10">
                  <c:v>72000</c:v>
                </c:pt>
                <c:pt idx="11">
                  <c:v>48000</c:v>
                </c:pt>
              </c:numCache>
            </c:numRef>
          </c:val>
        </c:ser>
        <c:marker val="1"/>
        <c:axId val="111111111"/>
        <c:axId val="222222222"/>
      </c:line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legend>
      <c:legendPos val="b"/>
      <c:overlay val="0"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Structure du bilan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Montant (FCFA)</c:v>
          </c:tx>
          <c:cat>
            <c:strRef>
              <c:f>Graphiques!$A$12:$A$17</c:f>
              <c:strCache>
                <c:ptCount val="6"/>
                <c:pt idx="0">
                  <c:v>Actif immob.</c:v>
                </c:pt>
                <c:pt idx="1">
                  <c:v>Actif circ.</c:v>
                </c:pt>
                <c:pt idx="2">
                  <c:v>Tresorerie</c:v>
                </c:pt>
                <c:pt idx="3">
                  <c:v>Cap. propres</c:v>
                </c:pt>
                <c:pt idx="4">
                  <c:v>Dettes fin.</c:v>
                </c:pt>
                <c:pt idx="5">
                  <c:v>Passif circ.</c:v>
                </c:pt>
              </c:strCache>
            </c:strRef>
          </c:cat>
          <c:val>
            <c:numRef>
              <c:f>Graphiques!$B$12:$B$17</c:f>
              <c:numCache>
                <c:formatCode>#,##0</c:formatCode>
                <c:ptCount val="6"/>
                <c:pt idx="0">
                  <c:v>150000</c:v>
                </c:pt>
                <c:pt idx="1">
                  <c:v>70000</c:v>
                </c:pt>
                <c:pt idx="2">
                  <c:v>48000</c:v>
                </c:pt>
                <c:pt idx="3">
                  <c:v>145000</c:v>
                </c:pt>
                <c:pt idx="4">
                  <c:v>100000</c:v>
                </c:pt>
                <c:pt idx="5">
                  <c:v>23000</c:v>
                </c:pt>
              </c:numCache>
            </c:numRef>
          </c:val>
        </c:ser>
        <c:gapWidth val="8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legend>
      <c:legendPos val="b"/>
      <c:overlay val="0"/>
    </c:legend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Ratios cles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Valeur</c:v>
          </c:tx>
          <c:cat>
            <c:strRef>
              <c:f>Graphiques!$A$21:$A$26</c:f>
              <c:strCache>
                <c:ptCount val="6"/>
                <c:pt idx="0">
                  <c:v>Autonomie fin.</c:v>
                </c:pt>
                <c:pt idx="1">
                  <c:v>Marge comm.</c:v>
                </c:pt>
                <c:pt idx="2">
                  <c:v>Valeur ajoutee</c:v>
                </c:pt>
                <c:pt idx="3">
                  <c:v>Marge nette</c:v>
                </c:pt>
                <c:pt idx="4">
                  <c:v>ROE</c:v>
                </c:pt>
                <c:pt idx="5">
                  <c:v>ROA</c:v>
                </c:pt>
              </c:strCache>
            </c:strRef>
          </c:cat>
          <c:val>
            <c:numRef>
              <c:f>Graphiques!$B$21:$B$26</c:f>
              <c:numCache>
                <c:formatCode>0.0%</c:formatCode>
                <c:ptCount val="6"/>
                <c:pt idx="0">
                  <c:v>0.541</c:v>
                </c:pt>
                <c:pt idx="1">
                  <c:v>0.4333</c:v>
                </c:pt>
                <c:pt idx="2">
                  <c:v>0.35</c:v>
                </c:pt>
                <c:pt idx="3">
                  <c:v>0.0167</c:v>
                </c:pt>
                <c:pt idx="4">
                  <c:v>0.0345</c:v>
                </c:pt>
                <c:pt idx="5">
                  <c:v>0.0187</c:v>
                </c:pt>
              </c:numCache>
            </c:numRef>
          </c:val>
        </c:ser>
        <c:gapWidth val="80"/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numFmt formatCode="0.0%" sourceLinked="0"/>
        <c:crossAx val="111111111"/>
      </c:valAx>
    </c:plotArea>
    <c:legend>
      <c:legendPos val="b"/>
      <c:overlay val="0"/>
    </c:legend>
    <c:plotVisOnly val="1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14</xdr:col>
      <xdr:colOff>0</xdr:colOff>
      <xdr:row>0</xdr:row>
      <xdr:rowOff>0</xdr:rowOff>
    </xdr:from>
    <xdr:to>
      <xdr:col>22</xdr:col>
      <xdr:colOff>0</xdr:colOff>
      <xdr:row>16</xdr:row>
      <xdr:rowOff>0</xdr:rowOff>
    </xdr:to>
    <xdr:graphicFrame macro="">
      <xdr:nvGraphicFramePr>
        <xdr:cNvPr id="2" name="Courbe de performanc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0</xdr:row>
      <xdr:rowOff>0</xdr:rowOff>
    </xdr:from>
    <xdr:to>
      <xdr:col>30</xdr:col>
      <xdr:colOff>0</xdr:colOff>
      <xdr:row>16</xdr:row>
      <xdr:rowOff>0</xdr:rowOff>
    </xdr:to>
    <xdr:graphicFrame macro="">
      <xdr:nvGraphicFramePr>
        <xdr:cNvPr id="3" name="Evolution tresoreri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22</xdr:col>
      <xdr:colOff>0</xdr:colOff>
      <xdr:row>33</xdr:row>
      <xdr:rowOff>0</xdr:rowOff>
    </xdr:to>
    <xdr:graphicFrame macro="">
      <xdr:nvGraphicFramePr>
        <xdr:cNvPr id="4" name="Structure du bila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17</xdr:row>
      <xdr:rowOff>0</xdr:rowOff>
    </xdr:from>
    <xdr:to>
      <xdr:col>30</xdr:col>
      <xdr:colOff>0</xdr:colOff>
      <xdr:row>33</xdr:row>
      <xdr:rowOff>0</xdr:rowOff>
    </xdr:to>
    <xdr:graphicFrame macro="">
      <xdr:nvGraphicFramePr>
        <xdr:cNvPr id="5" name="Ratios cl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12" customWidth="1"/>
    <col min="2" max="2" width="10" customWidth="1"/>
    <col min="3" max="3" width="10" customWidth="1"/>
    <col min="4" max="4" width="34" customWidth="1"/>
    <col min="5" max="5" width="30" customWidth="1"/>
    <col min="6" max="6" width="14" customWidth="1"/>
    <col min="7" max="7" width="14" customWidth="1"/>
    <col min="8" max="8" width="8" customWidth="1"/>
  </cols>
  <sheetData>
    <row r="1">
      <c r="A1" s="8" t="inlineStr">
        <is>
          <t xml:space="preserve">JOURNAL COMPTABLE OHADA - Exercice 2025</t>
        </is>
      </c>
    </row>
    <row r="2">
      <c r="A2" s="1" t="inlineStr">
        <is>
          <t xml:space="preserve">Date</t>
        </is>
      </c>
      <c r="B2" s="1" t="inlineStr">
        <is>
          <t xml:space="preserve">Piece</t>
        </is>
      </c>
      <c r="C2" s="1" t="inlineStr">
        <is>
          <t xml:space="preserve">Compte</t>
        </is>
      </c>
      <c r="D2" s="1" t="inlineStr">
        <is>
          <t xml:space="preserve">Intitule</t>
        </is>
      </c>
      <c r="E2" s="1" t="inlineStr">
        <is>
          <t xml:space="preserve">Libelle ecriture</t>
        </is>
      </c>
      <c r="F2" s="1" t="inlineStr">
        <is>
          <t xml:space="preserve">Debit</t>
        </is>
      </c>
      <c r="G2" s="1" t="inlineStr">
        <is>
          <t xml:space="preserve">Credit</t>
        </is>
      </c>
      <c r="H2" s="1" t="inlineStr">
        <is>
          <t xml:space="preserve">Mois</t>
        </is>
      </c>
    </row>
    <row r="3">
      <c r="A3" s="2" t="inlineStr">
        <is>
          <t xml:space="preserve">01/01/2025</t>
        </is>
      </c>
      <c r="B3" s="2" t="inlineStr">
        <is>
          <t xml:space="preserve">OUV</t>
        </is>
      </c>
      <c r="C3" s="9">
        <v>24</v>
      </c>
      <c r="D3" s="2" t="inlineStr">
        <is>
          <t xml:space="preserve">Immobilisations corporelles</t>
        </is>
      </c>
      <c r="E3" s="2" t="inlineStr">
        <is>
          <t xml:space="preserve">Solde d'ouverture</t>
        </is>
      </c>
      <c r="F3" s="4">
        <v>200000</v>
      </c>
      <c r="G3" s="4"/>
      <c r="H3" s="9">
        <f>VALUE(MID(A3,4,2))</f>
      </c>
    </row>
    <row r="4">
      <c r="A4" s="2" t="inlineStr">
        <is>
          <t xml:space="preserve">01/01/2025</t>
        </is>
      </c>
      <c r="B4" s="2" t="inlineStr">
        <is>
          <t xml:space="preserve">OUV</t>
        </is>
      </c>
      <c r="C4" s="9">
        <v>31</v>
      </c>
      <c r="D4" s="2" t="inlineStr">
        <is>
          <t xml:space="preserve">Stocks de marchandises</t>
        </is>
      </c>
      <c r="E4" s="2" t="inlineStr">
        <is>
          <t xml:space="preserve">Solde d'ouverture</t>
        </is>
      </c>
      <c r="F4" s="4">
        <v>40000</v>
      </c>
      <c r="G4" s="4"/>
      <c r="H4" s="9">
        <f>VALUE(MID(A4,4,2))</f>
      </c>
    </row>
    <row r="5">
      <c r="A5" s="2" t="inlineStr">
        <is>
          <t xml:space="preserve">01/01/2025</t>
        </is>
      </c>
      <c r="B5" s="2" t="inlineStr">
        <is>
          <t xml:space="preserve">OUV</t>
        </is>
      </c>
      <c r="C5" s="9">
        <v>411</v>
      </c>
      <c r="D5" s="2" t="inlineStr">
        <is>
          <t xml:space="preserve">Clients</t>
        </is>
      </c>
      <c r="E5" s="2" t="inlineStr">
        <is>
          <t xml:space="preserve">Solde d'ouverture</t>
        </is>
      </c>
      <c r="F5" s="4">
        <v>30000</v>
      </c>
      <c r="G5" s="4"/>
      <c r="H5" s="9">
        <f>VALUE(MID(A5,4,2))</f>
      </c>
    </row>
    <row r="6">
      <c r="A6" s="2" t="inlineStr">
        <is>
          <t xml:space="preserve">01/01/2025</t>
        </is>
      </c>
      <c r="B6" s="2" t="inlineStr">
        <is>
          <t xml:space="preserve">OUV</t>
        </is>
      </c>
      <c r="C6" s="9">
        <v>52</v>
      </c>
      <c r="D6" s="2" t="inlineStr">
        <is>
          <t xml:space="preserve">Banques</t>
        </is>
      </c>
      <c r="E6" s="2" t="inlineStr">
        <is>
          <t xml:space="preserve">Solde d'ouverture</t>
        </is>
      </c>
      <c r="F6" s="4">
        <v>50000</v>
      </c>
      <c r="G6" s="4"/>
      <c r="H6" s="9">
        <f>VALUE(MID(A6,4,2))</f>
      </c>
    </row>
    <row r="7">
      <c r="A7" s="2" t="inlineStr">
        <is>
          <t xml:space="preserve">01/01/2025</t>
        </is>
      </c>
      <c r="B7" s="2" t="inlineStr">
        <is>
          <t xml:space="preserve">OUV</t>
        </is>
      </c>
      <c r="C7" s="9">
        <v>28</v>
      </c>
      <c r="D7" s="2" t="inlineStr">
        <is>
          <t xml:space="preserve">Amortissements</t>
        </is>
      </c>
      <c r="E7" s="2" t="inlineStr">
        <is>
          <t xml:space="preserve">Solde d'ouverture</t>
        </is>
      </c>
      <c r="F7" s="4"/>
      <c r="G7" s="4">
        <v>60000</v>
      </c>
      <c r="H7" s="9">
        <f>VALUE(MID(A7,4,2))</f>
      </c>
    </row>
    <row r="8">
      <c r="A8" s="2" t="inlineStr">
        <is>
          <t xml:space="preserve">01/01/2025</t>
        </is>
      </c>
      <c r="B8" s="2" t="inlineStr">
        <is>
          <t xml:space="preserve">OUV</t>
        </is>
      </c>
      <c r="C8" s="9">
        <v>401</v>
      </c>
      <c r="D8" s="2" t="inlineStr">
        <is>
          <t xml:space="preserve">Fournisseurs</t>
        </is>
      </c>
      <c r="E8" s="2" t="inlineStr">
        <is>
          <t xml:space="preserve">Solde d'ouverture</t>
        </is>
      </c>
      <c r="F8" s="4"/>
      <c r="G8" s="4">
        <v>25000</v>
      </c>
      <c r="H8" s="9">
        <f>VALUE(MID(A8,4,2))</f>
      </c>
    </row>
    <row r="9">
      <c r="A9" s="2" t="inlineStr">
        <is>
          <t xml:space="preserve">01/01/2025</t>
        </is>
      </c>
      <c r="B9" s="2" t="inlineStr">
        <is>
          <t xml:space="preserve">OUV</t>
        </is>
      </c>
      <c r="C9" s="9">
        <v>16</v>
      </c>
      <c r="D9" s="2" t="inlineStr">
        <is>
          <t xml:space="preserve">Emprunts</t>
        </is>
      </c>
      <c r="E9" s="2" t="inlineStr">
        <is>
          <t xml:space="preserve">Solde d'ouverture</t>
        </is>
      </c>
      <c r="F9" s="4"/>
      <c r="G9" s="4">
        <v>80000</v>
      </c>
      <c r="H9" s="9">
        <f>VALUE(MID(A9,4,2))</f>
      </c>
    </row>
    <row r="10">
      <c r="A10" s="2" t="inlineStr">
        <is>
          <t xml:space="preserve">01/01/2025</t>
        </is>
      </c>
      <c r="B10" s="2" t="inlineStr">
        <is>
          <t xml:space="preserve">OUV</t>
        </is>
      </c>
      <c r="C10" s="9">
        <v>101</v>
      </c>
      <c r="D10" s="2" t="inlineStr">
        <is>
          <t xml:space="preserve">Capital social</t>
        </is>
      </c>
      <c r="E10" s="2" t="inlineStr">
        <is>
          <t xml:space="preserve">Solde d'ouverture</t>
        </is>
      </c>
      <c r="F10" s="4"/>
      <c r="G10" s="4">
        <v>100000</v>
      </c>
      <c r="H10" s="9">
        <f>VALUE(MID(A10,4,2))</f>
      </c>
    </row>
    <row r="11">
      <c r="A11" s="2" t="inlineStr">
        <is>
          <t xml:space="preserve">01/01/2025</t>
        </is>
      </c>
      <c r="B11" s="2" t="inlineStr">
        <is>
          <t xml:space="preserve">OUV</t>
        </is>
      </c>
      <c r="C11" s="9">
        <v>11</v>
      </c>
      <c r="D11" s="2" t="inlineStr">
        <is>
          <t xml:space="preserve">Reserves</t>
        </is>
      </c>
      <c r="E11" s="2" t="inlineStr">
        <is>
          <t xml:space="preserve">Solde d'ouverture</t>
        </is>
      </c>
      <c r="F11" s="4"/>
      <c r="G11" s="4">
        <v>40000</v>
      </c>
      <c r="H11" s="9">
        <f>VALUE(MID(A11,4,2))</f>
      </c>
    </row>
    <row r="12">
      <c r="A12" s="2" t="inlineStr">
        <is>
          <t xml:space="preserve">01/01/2025</t>
        </is>
      </c>
      <c r="B12" s="2" t="inlineStr">
        <is>
          <t xml:space="preserve">OUV</t>
        </is>
      </c>
      <c r="C12" s="9">
        <v>12</v>
      </c>
      <c r="D12" s="2" t="inlineStr">
        <is>
          <t xml:space="preserve">Report a nouveau</t>
        </is>
      </c>
      <c r="E12" s="2" t="inlineStr">
        <is>
          <t xml:space="preserve">Solde d'ouverture</t>
        </is>
      </c>
      <c r="F12" s="4"/>
      <c r="G12" s="4">
        <v>15000</v>
      </c>
      <c r="H12" s="9">
        <f>VALUE(MID(A12,4,2))</f>
      </c>
    </row>
    <row r="13">
      <c r="A13" s="2" t="inlineStr">
        <is>
          <t xml:space="preserve">15/02/2025</t>
        </is>
      </c>
      <c r="B13" s="2" t="inlineStr">
        <is>
          <t xml:space="preserve">VT-01</t>
        </is>
      </c>
      <c r="C13" s="9">
        <v>411</v>
      </c>
      <c r="D13" s="2" t="inlineStr">
        <is>
          <t xml:space="preserve">Clients</t>
        </is>
      </c>
      <c r="E13" s="2" t="inlineStr">
        <is>
          <t xml:space="preserve">Ventes a credit</t>
        </is>
      </c>
      <c r="F13" s="4">
        <v>300000</v>
      </c>
      <c r="G13" s="4"/>
      <c r="H13" s="9">
        <f>VALUE(MID(A13,4,2))</f>
      </c>
    </row>
    <row r="14">
      <c r="A14" s="2" t="inlineStr">
        <is>
          <t xml:space="preserve">15/02/2025</t>
        </is>
      </c>
      <c r="B14" s="2" t="inlineStr">
        <is>
          <t xml:space="preserve">VT-01</t>
        </is>
      </c>
      <c r="C14" s="9">
        <v>701</v>
      </c>
      <c r="D14" s="2" t="inlineStr">
        <is>
          <t xml:space="preserve">Ventes de marchandises</t>
        </is>
      </c>
      <c r="E14" s="2" t="inlineStr">
        <is>
          <t xml:space="preserve">Ventes a credit</t>
        </is>
      </c>
      <c r="F14" s="4"/>
      <c r="G14" s="4">
        <v>300000</v>
      </c>
      <c r="H14" s="9">
        <f>VALUE(MID(A14,4,2))</f>
      </c>
    </row>
    <row r="15">
      <c r="A15" s="2" t="inlineStr">
        <is>
          <t xml:space="preserve">20/03/2025</t>
        </is>
      </c>
      <c r="B15" s="2" t="inlineStr">
        <is>
          <t xml:space="preserve">ENC-01</t>
        </is>
      </c>
      <c r="C15" s="9">
        <v>52</v>
      </c>
      <c r="D15" s="2" t="inlineStr">
        <is>
          <t xml:space="preserve">Banques</t>
        </is>
      </c>
      <c r="E15" s="2" t="inlineStr">
        <is>
          <t xml:space="preserve">Encaissement clients</t>
        </is>
      </c>
      <c r="F15" s="4">
        <v>290000</v>
      </c>
      <c r="G15" s="4"/>
      <c r="H15" s="9">
        <f>VALUE(MID(A15,4,2))</f>
      </c>
    </row>
    <row r="16">
      <c r="A16" s="2" t="inlineStr">
        <is>
          <t xml:space="preserve">20/03/2025</t>
        </is>
      </c>
      <c r="B16" s="2" t="inlineStr">
        <is>
          <t xml:space="preserve">ENC-01</t>
        </is>
      </c>
      <c r="C16" s="9">
        <v>411</v>
      </c>
      <c r="D16" s="2" t="inlineStr">
        <is>
          <t xml:space="preserve">Clients</t>
        </is>
      </c>
      <c r="E16" s="2" t="inlineStr">
        <is>
          <t xml:space="preserve">Encaissement clients</t>
        </is>
      </c>
      <c r="F16" s="4"/>
      <c r="G16" s="4">
        <v>290000</v>
      </c>
      <c r="H16" s="9">
        <f>VALUE(MID(A16,4,2))</f>
      </c>
    </row>
    <row r="17">
      <c r="A17" s="2" t="inlineStr">
        <is>
          <t xml:space="preserve">05/04/2025</t>
        </is>
      </c>
      <c r="B17" s="2" t="inlineStr">
        <is>
          <t xml:space="preserve">ACH-01</t>
        </is>
      </c>
      <c r="C17" s="9">
        <v>601</v>
      </c>
      <c r="D17" s="2" t="inlineStr">
        <is>
          <t xml:space="preserve">Achats de marchandises</t>
        </is>
      </c>
      <c r="E17" s="2" t="inlineStr">
        <is>
          <t xml:space="preserve">Achats a credit</t>
        </is>
      </c>
      <c r="F17" s="4">
        <v>160000</v>
      </c>
      <c r="G17" s="4"/>
      <c r="H17" s="9">
        <f>VALUE(MID(A17,4,2))</f>
      </c>
    </row>
    <row r="18">
      <c r="A18" s="2" t="inlineStr">
        <is>
          <t xml:space="preserve">05/04/2025</t>
        </is>
      </c>
      <c r="B18" s="2" t="inlineStr">
        <is>
          <t xml:space="preserve">ACH-01</t>
        </is>
      </c>
      <c r="C18" s="9">
        <v>401</v>
      </c>
      <c r="D18" s="2" t="inlineStr">
        <is>
          <t xml:space="preserve">Fournisseurs</t>
        </is>
      </c>
      <c r="E18" s="2" t="inlineStr">
        <is>
          <t xml:space="preserve">Achats a credit</t>
        </is>
      </c>
      <c r="F18" s="4"/>
      <c r="G18" s="4">
        <v>160000</v>
      </c>
      <c r="H18" s="9">
        <f>VALUE(MID(A18,4,2))</f>
      </c>
    </row>
    <row r="19">
      <c r="A19" s="2" t="inlineStr">
        <is>
          <t xml:space="preserve">10/07/2025</t>
        </is>
      </c>
      <c r="B19" s="2" t="inlineStr">
        <is>
          <t xml:space="preserve">PAY-01</t>
        </is>
      </c>
      <c r="C19" s="9">
        <v>401</v>
      </c>
      <c r="D19" s="2" t="inlineStr">
        <is>
          <t xml:space="preserve">Fournisseurs</t>
        </is>
      </c>
      <c r="E19" s="2" t="inlineStr">
        <is>
          <t xml:space="preserve">Reglement fournisseurs</t>
        </is>
      </c>
      <c r="F19" s="4">
        <v>165000</v>
      </c>
      <c r="G19" s="4"/>
      <c r="H19" s="9">
        <f>VALUE(MID(A19,4,2))</f>
      </c>
    </row>
    <row r="20">
      <c r="A20" s="2" t="inlineStr">
        <is>
          <t xml:space="preserve">10/07/2025</t>
        </is>
      </c>
      <c r="B20" s="2" t="inlineStr">
        <is>
          <t xml:space="preserve">PAY-01</t>
        </is>
      </c>
      <c r="C20" s="9">
        <v>52</v>
      </c>
      <c r="D20" s="2" t="inlineStr">
        <is>
          <t xml:space="preserve">Banques</t>
        </is>
      </c>
      <c r="E20" s="2" t="inlineStr">
        <is>
          <t xml:space="preserve">Reglement fournisseurs</t>
        </is>
      </c>
      <c r="F20" s="4"/>
      <c r="G20" s="4">
        <v>165000</v>
      </c>
      <c r="H20" s="9">
        <f>VALUE(MID(A20,4,2))</f>
      </c>
    </row>
    <row r="21">
      <c r="A21" s="2" t="inlineStr">
        <is>
          <t xml:space="preserve">31/07/2025</t>
        </is>
      </c>
      <c r="B21" s="2" t="inlineStr">
        <is>
          <t xml:space="preserve">SAL-01</t>
        </is>
      </c>
      <c r="C21" s="9">
        <v>66</v>
      </c>
      <c r="D21" s="2" t="inlineStr">
        <is>
          <t xml:space="preserve">Charges de personnel</t>
        </is>
      </c>
      <c r="E21" s="2" t="inlineStr">
        <is>
          <t xml:space="preserve">Salaires</t>
        </is>
      </c>
      <c r="F21" s="4">
        <v>60000</v>
      </c>
      <c r="G21" s="4"/>
      <c r="H21" s="9">
        <f>VALUE(MID(A21,4,2))</f>
      </c>
    </row>
    <row r="22">
      <c r="A22" s="2" t="inlineStr">
        <is>
          <t xml:space="preserve">31/07/2025</t>
        </is>
      </c>
      <c r="B22" s="2" t="inlineStr">
        <is>
          <t xml:space="preserve">SAL-01</t>
        </is>
      </c>
      <c r="C22" s="9">
        <v>52</v>
      </c>
      <c r="D22" s="2" t="inlineStr">
        <is>
          <t xml:space="preserve">Banques</t>
        </is>
      </c>
      <c r="E22" s="2" t="inlineStr">
        <is>
          <t xml:space="preserve">Salaires</t>
        </is>
      </c>
      <c r="F22" s="4"/>
      <c r="G22" s="4">
        <v>60000</v>
      </c>
      <c r="H22" s="9">
        <f>VALUE(MID(A22,4,2))</f>
      </c>
    </row>
    <row r="23">
      <c r="A23" s="2" t="inlineStr">
        <is>
          <t xml:space="preserve">31/08/2025</t>
        </is>
      </c>
      <c r="B23" s="2" t="inlineStr">
        <is>
          <t xml:space="preserve">SE-01</t>
        </is>
      </c>
      <c r="C23" s="9">
        <v>62</v>
      </c>
      <c r="D23" s="2" t="inlineStr">
        <is>
          <t xml:space="preserve">Services exterieurs</t>
        </is>
      </c>
      <c r="E23" s="2" t="inlineStr">
        <is>
          <t xml:space="preserve">Prestations externes</t>
        </is>
      </c>
      <c r="F23" s="4">
        <v>25000</v>
      </c>
      <c r="G23" s="4"/>
      <c r="H23" s="9">
        <f>VALUE(MID(A23,4,2))</f>
      </c>
    </row>
    <row r="24">
      <c r="A24" s="2" t="inlineStr">
        <is>
          <t xml:space="preserve">31/08/2025</t>
        </is>
      </c>
      <c r="B24" s="2" t="inlineStr">
        <is>
          <t xml:space="preserve">SE-01</t>
        </is>
      </c>
      <c r="C24" s="9">
        <v>52</v>
      </c>
      <c r="D24" s="2" t="inlineStr">
        <is>
          <t xml:space="preserve">Banques</t>
        </is>
      </c>
      <c r="E24" s="2" t="inlineStr">
        <is>
          <t xml:space="preserve">Prestations externes</t>
        </is>
      </c>
      <c r="F24" s="4"/>
      <c r="G24" s="4">
        <v>25000</v>
      </c>
      <c r="H24" s="9">
        <f>VALUE(MID(A24,4,2))</f>
      </c>
    </row>
    <row r="25">
      <c r="A25" s="2" t="inlineStr">
        <is>
          <t xml:space="preserve">15/10/2025</t>
        </is>
      </c>
      <c r="B25" s="2" t="inlineStr">
        <is>
          <t xml:space="preserve">INV-01</t>
        </is>
      </c>
      <c r="C25" s="9">
        <v>24</v>
      </c>
      <c r="D25" s="2" t="inlineStr">
        <is>
          <t xml:space="preserve">Immobilisations corporelles</t>
        </is>
      </c>
      <c r="E25" s="2" t="inlineStr">
        <is>
          <t xml:space="preserve">Acquisition materiel</t>
        </is>
      </c>
      <c r="F25" s="4">
        <v>30000</v>
      </c>
      <c r="G25" s="4"/>
      <c r="H25" s="9">
        <f>VALUE(MID(A25,4,2))</f>
      </c>
    </row>
    <row r="26">
      <c r="A26" s="2" t="inlineStr">
        <is>
          <t xml:space="preserve">15/10/2025</t>
        </is>
      </c>
      <c r="B26" s="2" t="inlineStr">
        <is>
          <t xml:space="preserve">INV-01</t>
        </is>
      </c>
      <c r="C26" s="9">
        <v>52</v>
      </c>
      <c r="D26" s="2" t="inlineStr">
        <is>
          <t xml:space="preserve">Banques</t>
        </is>
      </c>
      <c r="E26" s="2" t="inlineStr">
        <is>
          <t xml:space="preserve">Acquisition materiel</t>
        </is>
      </c>
      <c r="F26" s="4"/>
      <c r="G26" s="4">
        <v>30000</v>
      </c>
      <c r="H26" s="9">
        <f>VALUE(MID(A26,4,2))</f>
      </c>
    </row>
    <row r="27">
      <c r="A27" s="2" t="inlineStr">
        <is>
          <t xml:space="preserve">31/10/2025</t>
        </is>
      </c>
      <c r="B27" s="2" t="inlineStr">
        <is>
          <t xml:space="preserve">FIN-01</t>
        </is>
      </c>
      <c r="C27" s="9">
        <v>671</v>
      </c>
      <c r="D27" s="2" t="inlineStr">
        <is>
          <t xml:space="preserve">Charges financieres</t>
        </is>
      </c>
      <c r="E27" s="2" t="inlineStr">
        <is>
          <t xml:space="preserve">Interets emprunt</t>
        </is>
      </c>
      <c r="F27" s="4">
        <v>8000</v>
      </c>
      <c r="G27" s="4"/>
      <c r="H27" s="9">
        <f>VALUE(MID(A27,4,2))</f>
      </c>
    </row>
    <row r="28">
      <c r="A28" s="2" t="inlineStr">
        <is>
          <t xml:space="preserve">31/10/2025</t>
        </is>
      </c>
      <c r="B28" s="2" t="inlineStr">
        <is>
          <t xml:space="preserve">FIN-01</t>
        </is>
      </c>
      <c r="C28" s="9">
        <v>52</v>
      </c>
      <c r="D28" s="2" t="inlineStr">
        <is>
          <t xml:space="preserve">Banques</t>
        </is>
      </c>
      <c r="E28" s="2" t="inlineStr">
        <is>
          <t xml:space="preserve">Interets emprunt</t>
        </is>
      </c>
      <c r="F28" s="4"/>
      <c r="G28" s="4">
        <v>8000</v>
      </c>
      <c r="H28" s="9">
        <f>VALUE(MID(A28,4,2))</f>
      </c>
    </row>
    <row r="29">
      <c r="A29" s="2" t="inlineStr">
        <is>
          <t xml:space="preserve">01/11/2025</t>
        </is>
      </c>
      <c r="B29" s="2" t="inlineStr">
        <is>
          <t xml:space="preserve">EMP-01</t>
        </is>
      </c>
      <c r="C29" s="9">
        <v>52</v>
      </c>
      <c r="D29" s="2" t="inlineStr">
        <is>
          <t xml:space="preserve">Banques</t>
        </is>
      </c>
      <c r="E29" s="2" t="inlineStr">
        <is>
          <t xml:space="preserve">Nouvel emprunt</t>
        </is>
      </c>
      <c r="F29" s="4">
        <v>20000</v>
      </c>
      <c r="G29" s="4"/>
      <c r="H29" s="9">
        <f>VALUE(MID(A29,4,2))</f>
      </c>
    </row>
    <row r="30">
      <c r="A30" s="2" t="inlineStr">
        <is>
          <t xml:space="preserve">01/11/2025</t>
        </is>
      </c>
      <c r="B30" s="2" t="inlineStr">
        <is>
          <t xml:space="preserve">EMP-01</t>
        </is>
      </c>
      <c r="C30" s="9">
        <v>16</v>
      </c>
      <c r="D30" s="2" t="inlineStr">
        <is>
          <t xml:space="preserve">Emprunts</t>
        </is>
      </c>
      <c r="E30" s="2" t="inlineStr">
        <is>
          <t xml:space="preserve">Nouvel emprunt</t>
        </is>
      </c>
      <c r="F30" s="4"/>
      <c r="G30" s="4">
        <v>20000</v>
      </c>
      <c r="H30" s="9">
        <f>VALUE(MID(A30,4,2))</f>
      </c>
    </row>
    <row r="31">
      <c r="A31" s="2" t="inlineStr">
        <is>
          <t xml:space="preserve">15/12/2025</t>
        </is>
      </c>
      <c r="B31" s="2" t="inlineStr">
        <is>
          <t xml:space="preserve">IS-01</t>
        </is>
      </c>
      <c r="C31" s="9">
        <v>891</v>
      </c>
      <c r="D31" s="2" t="inlineStr">
        <is>
          <t xml:space="preserve">Impots sur le resultat</t>
        </is>
      </c>
      <c r="E31" s="2" t="inlineStr">
        <is>
          <t xml:space="preserve">Charge d'impot</t>
        </is>
      </c>
      <c r="F31" s="4">
        <v>12000</v>
      </c>
      <c r="G31" s="4"/>
      <c r="H31" s="9">
        <f>VALUE(MID(A31,4,2))</f>
      </c>
    </row>
    <row r="32">
      <c r="A32" s="2" t="inlineStr">
        <is>
          <t xml:space="preserve">15/12/2025</t>
        </is>
      </c>
      <c r="B32" s="2" t="inlineStr">
        <is>
          <t xml:space="preserve">IS-01</t>
        </is>
      </c>
      <c r="C32" s="9">
        <v>44</v>
      </c>
      <c r="D32" s="2" t="inlineStr">
        <is>
          <t xml:space="preserve">Etat, impot sur benefices</t>
        </is>
      </c>
      <c r="E32" s="2" t="inlineStr">
        <is>
          <t xml:space="preserve">Charge d'impot</t>
        </is>
      </c>
      <c r="F32" s="4"/>
      <c r="G32" s="4">
        <v>12000</v>
      </c>
      <c r="H32" s="9">
        <f>VALUE(MID(A32,4,2))</f>
      </c>
    </row>
    <row r="33">
      <c r="A33" s="2" t="inlineStr">
        <is>
          <t xml:space="preserve">20/12/2025</t>
        </is>
      </c>
      <c r="B33" s="2" t="inlineStr">
        <is>
          <t xml:space="preserve">IS-02</t>
        </is>
      </c>
      <c r="C33" s="9">
        <v>44</v>
      </c>
      <c r="D33" s="2" t="inlineStr">
        <is>
          <t xml:space="preserve">Etat, impot sur benefices</t>
        </is>
      </c>
      <c r="E33" s="2" t="inlineStr">
        <is>
          <t xml:space="preserve">Paiement acompte</t>
        </is>
      </c>
      <c r="F33" s="4">
        <v>9000</v>
      </c>
      <c r="G33" s="4"/>
      <c r="H33" s="9">
        <f>VALUE(MID(A33,4,2))</f>
      </c>
    </row>
    <row r="34">
      <c r="A34" s="2" t="inlineStr">
        <is>
          <t xml:space="preserve">20/12/2025</t>
        </is>
      </c>
      <c r="B34" s="2" t="inlineStr">
        <is>
          <t xml:space="preserve">IS-02</t>
        </is>
      </c>
      <c r="C34" s="9">
        <v>52</v>
      </c>
      <c r="D34" s="2" t="inlineStr">
        <is>
          <t xml:space="preserve">Banques</t>
        </is>
      </c>
      <c r="E34" s="2" t="inlineStr">
        <is>
          <t xml:space="preserve">Paiement acompte</t>
        </is>
      </c>
      <c r="F34" s="4"/>
      <c r="G34" s="4">
        <v>9000</v>
      </c>
      <c r="H34" s="9">
        <f>VALUE(MID(A34,4,2))</f>
      </c>
    </row>
    <row r="35">
      <c r="A35" s="2" t="inlineStr">
        <is>
          <t xml:space="preserve">28/12/2025</t>
        </is>
      </c>
      <c r="B35" s="2" t="inlineStr">
        <is>
          <t xml:space="preserve">DIV-01</t>
        </is>
      </c>
      <c r="C35" s="9">
        <v>12</v>
      </c>
      <c r="D35" s="2" t="inlineStr">
        <is>
          <t xml:space="preserve">Report a nouveau</t>
        </is>
      </c>
      <c r="E35" s="2" t="inlineStr">
        <is>
          <t xml:space="preserve">Dividendes verses</t>
        </is>
      </c>
      <c r="F35" s="4">
        <v>15000</v>
      </c>
      <c r="G35" s="4"/>
      <c r="H35" s="9">
        <f>VALUE(MID(A35,4,2))</f>
      </c>
    </row>
    <row r="36">
      <c r="A36" s="2" t="inlineStr">
        <is>
          <t xml:space="preserve">28/12/2025</t>
        </is>
      </c>
      <c r="B36" s="2" t="inlineStr">
        <is>
          <t xml:space="preserve">DIV-01</t>
        </is>
      </c>
      <c r="C36" s="9">
        <v>52</v>
      </c>
      <c r="D36" s="2" t="inlineStr">
        <is>
          <t xml:space="preserve">Banques</t>
        </is>
      </c>
      <c r="E36" s="2" t="inlineStr">
        <is>
          <t xml:space="preserve">Dividendes verses</t>
        </is>
      </c>
      <c r="F36" s="4"/>
      <c r="G36" s="4">
        <v>15000</v>
      </c>
      <c r="H36" s="9">
        <f>VALUE(MID(A36,4,2))</f>
      </c>
    </row>
    <row r="37">
      <c r="A37" s="2" t="inlineStr">
        <is>
          <t xml:space="preserve">31/12/2025</t>
        </is>
      </c>
      <c r="B37" s="2" t="inlineStr">
        <is>
          <t xml:space="preserve">AM-01</t>
        </is>
      </c>
      <c r="C37" s="9">
        <v>681</v>
      </c>
      <c r="D37" s="2" t="inlineStr">
        <is>
          <t xml:space="preserve">Dotations aux amortissements</t>
        </is>
      </c>
      <c r="E37" s="2" t="inlineStr">
        <is>
          <t xml:space="preserve">Dotation exercice</t>
        </is>
      </c>
      <c r="F37" s="4">
        <v>20000</v>
      </c>
      <c r="G37" s="4"/>
      <c r="H37" s="9">
        <f>VALUE(MID(A37,4,2))</f>
      </c>
    </row>
    <row r="38">
      <c r="A38" s="2" t="inlineStr">
        <is>
          <t xml:space="preserve">31/12/2025</t>
        </is>
      </c>
      <c r="B38" s="2" t="inlineStr">
        <is>
          <t xml:space="preserve">AM-01</t>
        </is>
      </c>
      <c r="C38" s="9">
        <v>28</v>
      </c>
      <c r="D38" s="2" t="inlineStr">
        <is>
          <t xml:space="preserve">Amortissements</t>
        </is>
      </c>
      <c r="E38" s="2" t="inlineStr">
        <is>
          <t xml:space="preserve">Dotation exercice</t>
        </is>
      </c>
      <c r="F38" s="4"/>
      <c r="G38" s="4">
        <v>20000</v>
      </c>
      <c r="H38" s="9">
        <f>VALUE(MID(A38,4,2))</f>
      </c>
    </row>
    <row r="39">
      <c r="A39" s="2" t="inlineStr">
        <is>
          <t xml:space="preserve">31/12/2025</t>
        </is>
      </c>
      <c r="B39" s="2" t="inlineStr">
        <is>
          <t xml:space="preserve">VS-01</t>
        </is>
      </c>
      <c r="C39" s="9">
        <v>6031</v>
      </c>
      <c r="D39" s="2" t="inlineStr">
        <is>
          <t xml:space="preserve">Variation de stocks de marchandises</t>
        </is>
      </c>
      <c r="E39" s="2" t="inlineStr">
        <is>
          <t xml:space="preserve">Destockage net</t>
        </is>
      </c>
      <c r="F39" s="4">
        <v>10000</v>
      </c>
      <c r="G39" s="4"/>
      <c r="H39" s="9">
        <f>VALUE(MID(A39,4,2))</f>
      </c>
    </row>
    <row r="40">
      <c r="A40" s="2" t="inlineStr">
        <is>
          <t xml:space="preserve">31/12/2025</t>
        </is>
      </c>
      <c r="B40" s="2" t="inlineStr">
        <is>
          <t xml:space="preserve">VS-01</t>
        </is>
      </c>
      <c r="C40" s="9">
        <v>31</v>
      </c>
      <c r="D40" s="2" t="inlineStr">
        <is>
          <t xml:space="preserve">Stocks de marchandises</t>
        </is>
      </c>
      <c r="E40" s="2" t="inlineStr">
        <is>
          <t xml:space="preserve">Destockage net</t>
        </is>
      </c>
      <c r="F40" s="4"/>
      <c r="G40" s="4">
        <v>10000</v>
      </c>
      <c r="H40" s="9">
        <f>VALUE(MID(A40,4,2))</f>
      </c>
    </row>
    <row r="41">
      <c r="A41" s="2"/>
      <c r="B41" s="2"/>
      <c r="C41" s="2"/>
      <c r="D41" s="2"/>
      <c r="E41" s="3" t="inlineStr">
        <is>
          <t xml:space="preserve">TOTAUX</t>
        </is>
      </c>
      <c r="F41" s="5">
        <f>SUM(F3:F40)</f>
      </c>
      <c r="G41" s="5">
        <f>SUM(G3:G40)</f>
      </c>
      <c r="H41" s="2"/>
    </row>
    <row r="42">
      <c r="A42" s="2"/>
      <c r="B42" s="2"/>
      <c r="C42" s="2"/>
      <c r="D42" s="2"/>
      <c r="E42" s="3" t="inlineStr">
        <is>
          <t xml:space="preserve">Controle equilibre</t>
        </is>
      </c>
      <c r="F42" s="3">
        <f>IF(F41=G41,"Equilibre","Desequilibre")</f>
      </c>
      <c r="G42" s="2"/>
      <c r="H42" s="2"/>
    </row>
  </sheetData>
  <mergeCells count="1">
    <mergeCell ref="A1:H1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9" customWidth="1"/>
    <col min="2" max="2" width="32" customWidth="1"/>
    <col min="3" max="3" width="13" customWidth="1"/>
    <col min="4" max="4" width="13" customWidth="1"/>
    <col min="5" max="5" width="14" customWidth="1"/>
    <col min="6" max="6" width="14" customWidth="1"/>
    <col min="7" max="7" width="14" customWidth="1"/>
    <col min="8" max="8" width="14" customWidth="1"/>
  </cols>
  <sheetData>
    <row r="1">
      <c r="A1" s="8" t="inlineStr">
        <is>
          <t xml:space="preserve">BALANCE OHADA A 6 COLONNES - Exercice 2025</t>
        </is>
      </c>
    </row>
    <row r="2">
      <c r="A2" s="1" t="inlineStr">
        <is>
          <t xml:space="preserve">Compte</t>
        </is>
      </c>
      <c r="B2" s="1" t="inlineStr">
        <is>
          <t xml:space="preserve">Intitule</t>
        </is>
      </c>
      <c r="C2" s="1" t="inlineStr">
        <is>
          <t xml:space="preserve">Ouv. Debit</t>
        </is>
      </c>
      <c r="D2" s="1" t="inlineStr">
        <is>
          <t xml:space="preserve">Ouv. Credit</t>
        </is>
      </c>
      <c r="E2" s="1" t="inlineStr">
        <is>
          <t xml:space="preserve">Mouv. Debit</t>
        </is>
      </c>
      <c r="F2" s="1" t="inlineStr">
        <is>
          <t xml:space="preserve">Mouv. Credit</t>
        </is>
      </c>
      <c r="G2" s="1" t="inlineStr">
        <is>
          <t xml:space="preserve">Solde Debiteur</t>
        </is>
      </c>
      <c r="H2" s="1" t="inlineStr">
        <is>
          <t xml:space="preserve">Solde Crediteur</t>
        </is>
      </c>
    </row>
    <row r="3">
      <c r="A3" s="9">
        <v>101</v>
      </c>
      <c r="B3" s="2" t="inlineStr">
        <is>
          <t xml:space="preserve">Capital social</t>
        </is>
      </c>
      <c r="C3" s="4">
        <f>SUMIFS(Journal!$F:$F,Journal!$C:$C,A3,Journal!$B:$B,"OUV")</f>
      </c>
      <c r="D3" s="4">
        <f>SUMIFS(Journal!$G:$G,Journal!$C:$C,A3,Journal!$B:$B,"OUV")</f>
      </c>
      <c r="E3" s="4">
        <f>SUMIFS(Journal!$F:$F,Journal!$C:$C,A3,Journal!$B:$B,"&lt;&gt;OUV")</f>
      </c>
      <c r="F3" s="4">
        <f>SUMIFS(Journal!$G:$G,Journal!$C:$C,A3,Journal!$B:$B,"&lt;&gt;OUV")</f>
      </c>
      <c r="G3" s="4">
        <f>IF((C3+E3)-(D3+F3)&gt;0,(C3+E3)-(D3+F3),0)</f>
      </c>
      <c r="H3" s="4">
        <f>IF((D3+F3)-(C3+E3)&gt;0,(D3+F3)-(C3+E3),0)</f>
      </c>
    </row>
    <row r="4">
      <c r="A4" s="9">
        <v>11</v>
      </c>
      <c r="B4" s="2" t="inlineStr">
        <is>
          <t xml:space="preserve">Reserves</t>
        </is>
      </c>
      <c r="C4" s="4">
        <f>SUMIFS(Journal!$F:$F,Journal!$C:$C,A4,Journal!$B:$B,"OUV")</f>
      </c>
      <c r="D4" s="4">
        <f>SUMIFS(Journal!$G:$G,Journal!$C:$C,A4,Journal!$B:$B,"OUV")</f>
      </c>
      <c r="E4" s="4">
        <f>SUMIFS(Journal!$F:$F,Journal!$C:$C,A4,Journal!$B:$B,"&lt;&gt;OUV")</f>
      </c>
      <c r="F4" s="4">
        <f>SUMIFS(Journal!$G:$G,Journal!$C:$C,A4,Journal!$B:$B,"&lt;&gt;OUV")</f>
      </c>
      <c r="G4" s="4">
        <f>IF((C4+E4)-(D4+F4)&gt;0,(C4+E4)-(D4+F4),0)</f>
      </c>
      <c r="H4" s="4">
        <f>IF((D4+F4)-(C4+E4)&gt;0,(D4+F4)-(C4+E4),0)</f>
      </c>
    </row>
    <row r="5">
      <c r="A5" s="9">
        <v>12</v>
      </c>
      <c r="B5" s="2" t="inlineStr">
        <is>
          <t xml:space="preserve">Report a nouveau</t>
        </is>
      </c>
      <c r="C5" s="4">
        <f>SUMIFS(Journal!$F:$F,Journal!$C:$C,A5,Journal!$B:$B,"OUV")</f>
      </c>
      <c r="D5" s="4">
        <f>SUMIFS(Journal!$G:$G,Journal!$C:$C,A5,Journal!$B:$B,"OUV")</f>
      </c>
      <c r="E5" s="4">
        <f>SUMIFS(Journal!$F:$F,Journal!$C:$C,A5,Journal!$B:$B,"&lt;&gt;OUV")</f>
      </c>
      <c r="F5" s="4">
        <f>SUMIFS(Journal!$G:$G,Journal!$C:$C,A5,Journal!$B:$B,"&lt;&gt;OUV")</f>
      </c>
      <c r="G5" s="4">
        <f>IF((C5+E5)-(D5+F5)&gt;0,(C5+E5)-(D5+F5),0)</f>
      </c>
      <c r="H5" s="4">
        <f>IF((D5+F5)-(C5+E5)&gt;0,(D5+F5)-(C5+E5),0)</f>
      </c>
    </row>
    <row r="6">
      <c r="A6" s="9">
        <v>16</v>
      </c>
      <c r="B6" s="2" t="inlineStr">
        <is>
          <t xml:space="preserve">Emprunts</t>
        </is>
      </c>
      <c r="C6" s="4">
        <f>SUMIFS(Journal!$F:$F,Journal!$C:$C,A6,Journal!$B:$B,"OUV")</f>
      </c>
      <c r="D6" s="4">
        <f>SUMIFS(Journal!$G:$G,Journal!$C:$C,A6,Journal!$B:$B,"OUV")</f>
      </c>
      <c r="E6" s="4">
        <f>SUMIFS(Journal!$F:$F,Journal!$C:$C,A6,Journal!$B:$B,"&lt;&gt;OUV")</f>
      </c>
      <c r="F6" s="4">
        <f>SUMIFS(Journal!$G:$G,Journal!$C:$C,A6,Journal!$B:$B,"&lt;&gt;OUV")</f>
      </c>
      <c r="G6" s="4">
        <f>IF((C6+E6)-(D6+F6)&gt;0,(C6+E6)-(D6+F6),0)</f>
      </c>
      <c r="H6" s="4">
        <f>IF((D6+F6)-(C6+E6)&gt;0,(D6+F6)-(C6+E6),0)</f>
      </c>
    </row>
    <row r="7">
      <c r="A7" s="9">
        <v>24</v>
      </c>
      <c r="B7" s="2" t="inlineStr">
        <is>
          <t xml:space="preserve">Immobilisations corporelles (brut)</t>
        </is>
      </c>
      <c r="C7" s="4">
        <f>SUMIFS(Journal!$F:$F,Journal!$C:$C,A7,Journal!$B:$B,"OUV")</f>
      </c>
      <c r="D7" s="4">
        <f>SUMIFS(Journal!$G:$G,Journal!$C:$C,A7,Journal!$B:$B,"OUV")</f>
      </c>
      <c r="E7" s="4">
        <f>SUMIFS(Journal!$F:$F,Journal!$C:$C,A7,Journal!$B:$B,"&lt;&gt;OUV")</f>
      </c>
      <c r="F7" s="4">
        <f>SUMIFS(Journal!$G:$G,Journal!$C:$C,A7,Journal!$B:$B,"&lt;&gt;OUV")</f>
      </c>
      <c r="G7" s="4">
        <f>IF((C7+E7)-(D7+F7)&gt;0,(C7+E7)-(D7+F7),0)</f>
      </c>
      <c r="H7" s="4">
        <f>IF((D7+F7)-(C7+E7)&gt;0,(D7+F7)-(C7+E7),0)</f>
      </c>
    </row>
    <row r="8">
      <c r="A8" s="9">
        <v>28</v>
      </c>
      <c r="B8" s="2" t="inlineStr">
        <is>
          <t xml:space="preserve">Amortissements</t>
        </is>
      </c>
      <c r="C8" s="4">
        <f>SUMIFS(Journal!$F:$F,Journal!$C:$C,A8,Journal!$B:$B,"OUV")</f>
      </c>
      <c r="D8" s="4">
        <f>SUMIFS(Journal!$G:$G,Journal!$C:$C,A8,Journal!$B:$B,"OUV")</f>
      </c>
      <c r="E8" s="4">
        <f>SUMIFS(Journal!$F:$F,Journal!$C:$C,A8,Journal!$B:$B,"&lt;&gt;OUV")</f>
      </c>
      <c r="F8" s="4">
        <f>SUMIFS(Journal!$G:$G,Journal!$C:$C,A8,Journal!$B:$B,"&lt;&gt;OUV")</f>
      </c>
      <c r="G8" s="4">
        <f>IF((C8+E8)-(D8+F8)&gt;0,(C8+E8)-(D8+F8),0)</f>
      </c>
      <c r="H8" s="4">
        <f>IF((D8+F8)-(C8+E8)&gt;0,(D8+F8)-(C8+E8),0)</f>
      </c>
    </row>
    <row r="9">
      <c r="A9" s="9">
        <v>31</v>
      </c>
      <c r="B9" s="2" t="inlineStr">
        <is>
          <t xml:space="preserve">Stocks de marchandises</t>
        </is>
      </c>
      <c r="C9" s="4">
        <f>SUMIFS(Journal!$F:$F,Journal!$C:$C,A9,Journal!$B:$B,"OUV")</f>
      </c>
      <c r="D9" s="4">
        <f>SUMIFS(Journal!$G:$G,Journal!$C:$C,A9,Journal!$B:$B,"OUV")</f>
      </c>
      <c r="E9" s="4">
        <f>SUMIFS(Journal!$F:$F,Journal!$C:$C,A9,Journal!$B:$B,"&lt;&gt;OUV")</f>
      </c>
      <c r="F9" s="4">
        <f>SUMIFS(Journal!$G:$G,Journal!$C:$C,A9,Journal!$B:$B,"&lt;&gt;OUV")</f>
      </c>
      <c r="G9" s="4">
        <f>IF((C9+E9)-(D9+F9)&gt;0,(C9+E9)-(D9+F9),0)</f>
      </c>
      <c r="H9" s="4">
        <f>IF((D9+F9)-(C9+E9)&gt;0,(D9+F9)-(C9+E9),0)</f>
      </c>
    </row>
    <row r="10">
      <c r="A10" s="9">
        <v>401</v>
      </c>
      <c r="B10" s="2" t="inlineStr">
        <is>
          <t xml:space="preserve">Fournisseurs</t>
        </is>
      </c>
      <c r="C10" s="4">
        <f>SUMIFS(Journal!$F:$F,Journal!$C:$C,A10,Journal!$B:$B,"OUV")</f>
      </c>
      <c r="D10" s="4">
        <f>SUMIFS(Journal!$G:$G,Journal!$C:$C,A10,Journal!$B:$B,"OUV")</f>
      </c>
      <c r="E10" s="4">
        <f>SUMIFS(Journal!$F:$F,Journal!$C:$C,A10,Journal!$B:$B,"&lt;&gt;OUV")</f>
      </c>
      <c r="F10" s="4">
        <f>SUMIFS(Journal!$G:$G,Journal!$C:$C,A10,Journal!$B:$B,"&lt;&gt;OUV")</f>
      </c>
      <c r="G10" s="4">
        <f>IF((C10+E10)-(D10+F10)&gt;0,(C10+E10)-(D10+F10),0)</f>
      </c>
      <c r="H10" s="4">
        <f>IF((D10+F10)-(C10+E10)&gt;0,(D10+F10)-(C10+E10),0)</f>
      </c>
    </row>
    <row r="11">
      <c r="A11" s="9">
        <v>411</v>
      </c>
      <c r="B11" s="2" t="inlineStr">
        <is>
          <t xml:space="preserve">Clients</t>
        </is>
      </c>
      <c r="C11" s="4">
        <f>SUMIFS(Journal!$F:$F,Journal!$C:$C,A11,Journal!$B:$B,"OUV")</f>
      </c>
      <c r="D11" s="4">
        <f>SUMIFS(Journal!$G:$G,Journal!$C:$C,A11,Journal!$B:$B,"OUV")</f>
      </c>
      <c r="E11" s="4">
        <f>SUMIFS(Journal!$F:$F,Journal!$C:$C,A11,Journal!$B:$B,"&lt;&gt;OUV")</f>
      </c>
      <c r="F11" s="4">
        <f>SUMIFS(Journal!$G:$G,Journal!$C:$C,A11,Journal!$B:$B,"&lt;&gt;OUV")</f>
      </c>
      <c r="G11" s="4">
        <f>IF((C11+E11)-(D11+F11)&gt;0,(C11+E11)-(D11+F11),0)</f>
      </c>
      <c r="H11" s="4">
        <f>IF((D11+F11)-(C11+E11)&gt;0,(D11+F11)-(C11+E11),0)</f>
      </c>
    </row>
    <row r="12">
      <c r="A12" s="9">
        <v>44</v>
      </c>
      <c r="B12" s="2" t="inlineStr">
        <is>
          <t xml:space="preserve">Etat, impot sur benefices</t>
        </is>
      </c>
      <c r="C12" s="4">
        <f>SUMIFS(Journal!$F:$F,Journal!$C:$C,A12,Journal!$B:$B,"OUV")</f>
      </c>
      <c r="D12" s="4">
        <f>SUMIFS(Journal!$G:$G,Journal!$C:$C,A12,Journal!$B:$B,"OUV")</f>
      </c>
      <c r="E12" s="4">
        <f>SUMIFS(Journal!$F:$F,Journal!$C:$C,A12,Journal!$B:$B,"&lt;&gt;OUV")</f>
      </c>
      <c r="F12" s="4">
        <f>SUMIFS(Journal!$G:$G,Journal!$C:$C,A12,Journal!$B:$B,"&lt;&gt;OUV")</f>
      </c>
      <c r="G12" s="4">
        <f>IF((C12+E12)-(D12+F12)&gt;0,(C12+E12)-(D12+F12),0)</f>
      </c>
      <c r="H12" s="4">
        <f>IF((D12+F12)-(C12+E12)&gt;0,(D12+F12)-(C12+E12),0)</f>
      </c>
    </row>
    <row r="13">
      <c r="A13" s="9">
        <v>52</v>
      </c>
      <c r="B13" s="2" t="inlineStr">
        <is>
          <t xml:space="preserve">Banques</t>
        </is>
      </c>
      <c r="C13" s="4">
        <f>SUMIFS(Journal!$F:$F,Journal!$C:$C,A13,Journal!$B:$B,"OUV")</f>
      </c>
      <c r="D13" s="4">
        <f>SUMIFS(Journal!$G:$G,Journal!$C:$C,A13,Journal!$B:$B,"OUV")</f>
      </c>
      <c r="E13" s="4">
        <f>SUMIFS(Journal!$F:$F,Journal!$C:$C,A13,Journal!$B:$B,"&lt;&gt;OUV")</f>
      </c>
      <c r="F13" s="4">
        <f>SUMIFS(Journal!$G:$G,Journal!$C:$C,A13,Journal!$B:$B,"&lt;&gt;OUV")</f>
      </c>
      <c r="G13" s="4">
        <f>IF((C13+E13)-(D13+F13)&gt;0,(C13+E13)-(D13+F13),0)</f>
      </c>
      <c r="H13" s="4">
        <f>IF((D13+F13)-(C13+E13)&gt;0,(D13+F13)-(C13+E13),0)</f>
      </c>
    </row>
    <row r="14">
      <c r="A14" s="9">
        <v>601</v>
      </c>
      <c r="B14" s="2" t="inlineStr">
        <is>
          <t xml:space="preserve">Achats de marchandises</t>
        </is>
      </c>
      <c r="C14" s="4">
        <f>SUMIFS(Journal!$F:$F,Journal!$C:$C,A14,Journal!$B:$B,"OUV")</f>
      </c>
      <c r="D14" s="4">
        <f>SUMIFS(Journal!$G:$G,Journal!$C:$C,A14,Journal!$B:$B,"OUV")</f>
      </c>
      <c r="E14" s="4">
        <f>SUMIFS(Journal!$F:$F,Journal!$C:$C,A14,Journal!$B:$B,"&lt;&gt;OUV")</f>
      </c>
      <c r="F14" s="4">
        <f>SUMIFS(Journal!$G:$G,Journal!$C:$C,A14,Journal!$B:$B,"&lt;&gt;OUV")</f>
      </c>
      <c r="G14" s="4">
        <f>IF((C14+E14)-(D14+F14)&gt;0,(C14+E14)-(D14+F14),0)</f>
      </c>
      <c r="H14" s="4">
        <f>IF((D14+F14)-(C14+E14)&gt;0,(D14+F14)-(C14+E14),0)</f>
      </c>
    </row>
    <row r="15">
      <c r="A15" s="9">
        <v>6031</v>
      </c>
      <c r="B15" s="2" t="inlineStr">
        <is>
          <t xml:space="preserve">Variation de stocks de marchandises</t>
        </is>
      </c>
      <c r="C15" s="4">
        <f>SUMIFS(Journal!$F:$F,Journal!$C:$C,A15,Journal!$B:$B,"OUV")</f>
      </c>
      <c r="D15" s="4">
        <f>SUMIFS(Journal!$G:$G,Journal!$C:$C,A15,Journal!$B:$B,"OUV")</f>
      </c>
      <c r="E15" s="4">
        <f>SUMIFS(Journal!$F:$F,Journal!$C:$C,A15,Journal!$B:$B,"&lt;&gt;OUV")</f>
      </c>
      <c r="F15" s="4">
        <f>SUMIFS(Journal!$G:$G,Journal!$C:$C,A15,Journal!$B:$B,"&lt;&gt;OUV")</f>
      </c>
      <c r="G15" s="4">
        <f>IF((C15+E15)-(D15+F15)&gt;0,(C15+E15)-(D15+F15),0)</f>
      </c>
      <c r="H15" s="4">
        <f>IF((D15+F15)-(C15+E15)&gt;0,(D15+F15)-(C15+E15),0)</f>
      </c>
    </row>
    <row r="16">
      <c r="A16" s="9">
        <v>62</v>
      </c>
      <c r="B16" s="2" t="inlineStr">
        <is>
          <t xml:space="preserve">Services exterieurs</t>
        </is>
      </c>
      <c r="C16" s="4">
        <f>SUMIFS(Journal!$F:$F,Journal!$C:$C,A16,Journal!$B:$B,"OUV")</f>
      </c>
      <c r="D16" s="4">
        <f>SUMIFS(Journal!$G:$G,Journal!$C:$C,A16,Journal!$B:$B,"OUV")</f>
      </c>
      <c r="E16" s="4">
        <f>SUMIFS(Journal!$F:$F,Journal!$C:$C,A16,Journal!$B:$B,"&lt;&gt;OUV")</f>
      </c>
      <c r="F16" s="4">
        <f>SUMIFS(Journal!$G:$G,Journal!$C:$C,A16,Journal!$B:$B,"&lt;&gt;OUV")</f>
      </c>
      <c r="G16" s="4">
        <f>IF((C16+E16)-(D16+F16)&gt;0,(C16+E16)-(D16+F16),0)</f>
      </c>
      <c r="H16" s="4">
        <f>IF((D16+F16)-(C16+E16)&gt;0,(D16+F16)-(C16+E16),0)</f>
      </c>
    </row>
    <row r="17">
      <c r="A17" s="9">
        <v>66</v>
      </c>
      <c r="B17" s="2" t="inlineStr">
        <is>
          <t xml:space="preserve">Charges de personnel</t>
        </is>
      </c>
      <c r="C17" s="4">
        <f>SUMIFS(Journal!$F:$F,Journal!$C:$C,A17,Journal!$B:$B,"OUV")</f>
      </c>
      <c r="D17" s="4">
        <f>SUMIFS(Journal!$G:$G,Journal!$C:$C,A17,Journal!$B:$B,"OUV")</f>
      </c>
      <c r="E17" s="4">
        <f>SUMIFS(Journal!$F:$F,Journal!$C:$C,A17,Journal!$B:$B,"&lt;&gt;OUV")</f>
      </c>
      <c r="F17" s="4">
        <f>SUMIFS(Journal!$G:$G,Journal!$C:$C,A17,Journal!$B:$B,"&lt;&gt;OUV")</f>
      </c>
      <c r="G17" s="4">
        <f>IF((C17+E17)-(D17+F17)&gt;0,(C17+E17)-(D17+F17),0)</f>
      </c>
      <c r="H17" s="4">
        <f>IF((D17+F17)-(C17+E17)&gt;0,(D17+F17)-(C17+E17),0)</f>
      </c>
    </row>
    <row r="18">
      <c r="A18" s="9">
        <v>671</v>
      </c>
      <c r="B18" s="2" t="inlineStr">
        <is>
          <t xml:space="preserve">Charges financieres</t>
        </is>
      </c>
      <c r="C18" s="4">
        <f>SUMIFS(Journal!$F:$F,Journal!$C:$C,A18,Journal!$B:$B,"OUV")</f>
      </c>
      <c r="D18" s="4">
        <f>SUMIFS(Journal!$G:$G,Journal!$C:$C,A18,Journal!$B:$B,"OUV")</f>
      </c>
      <c r="E18" s="4">
        <f>SUMIFS(Journal!$F:$F,Journal!$C:$C,A18,Journal!$B:$B,"&lt;&gt;OUV")</f>
      </c>
      <c r="F18" s="4">
        <f>SUMIFS(Journal!$G:$G,Journal!$C:$C,A18,Journal!$B:$B,"&lt;&gt;OUV")</f>
      </c>
      <c r="G18" s="4">
        <f>IF((C18+E18)-(D18+F18)&gt;0,(C18+E18)-(D18+F18),0)</f>
      </c>
      <c r="H18" s="4">
        <f>IF((D18+F18)-(C18+E18)&gt;0,(D18+F18)-(C18+E18),0)</f>
      </c>
    </row>
    <row r="19">
      <c r="A19" s="9">
        <v>681</v>
      </c>
      <c r="B19" s="2" t="inlineStr">
        <is>
          <t xml:space="preserve">Dotations aux amortissements</t>
        </is>
      </c>
      <c r="C19" s="4">
        <f>SUMIFS(Journal!$F:$F,Journal!$C:$C,A19,Journal!$B:$B,"OUV")</f>
      </c>
      <c r="D19" s="4">
        <f>SUMIFS(Journal!$G:$G,Journal!$C:$C,A19,Journal!$B:$B,"OUV")</f>
      </c>
      <c r="E19" s="4">
        <f>SUMIFS(Journal!$F:$F,Journal!$C:$C,A19,Journal!$B:$B,"&lt;&gt;OUV")</f>
      </c>
      <c r="F19" s="4">
        <f>SUMIFS(Journal!$G:$G,Journal!$C:$C,A19,Journal!$B:$B,"&lt;&gt;OUV")</f>
      </c>
      <c r="G19" s="4">
        <f>IF((C19+E19)-(D19+F19)&gt;0,(C19+E19)-(D19+F19),0)</f>
      </c>
      <c r="H19" s="4">
        <f>IF((D19+F19)-(C19+E19)&gt;0,(D19+F19)-(C19+E19),0)</f>
      </c>
    </row>
    <row r="20">
      <c r="A20" s="9">
        <v>701</v>
      </c>
      <c r="B20" s="2" t="inlineStr">
        <is>
          <t xml:space="preserve">Ventes de marchandises</t>
        </is>
      </c>
      <c r="C20" s="4">
        <f>SUMIFS(Journal!$F:$F,Journal!$C:$C,A20,Journal!$B:$B,"OUV")</f>
      </c>
      <c r="D20" s="4">
        <f>SUMIFS(Journal!$G:$G,Journal!$C:$C,A20,Journal!$B:$B,"OUV")</f>
      </c>
      <c r="E20" s="4">
        <f>SUMIFS(Journal!$F:$F,Journal!$C:$C,A20,Journal!$B:$B,"&lt;&gt;OUV")</f>
      </c>
      <c r="F20" s="4">
        <f>SUMIFS(Journal!$G:$G,Journal!$C:$C,A20,Journal!$B:$B,"&lt;&gt;OUV")</f>
      </c>
      <c r="G20" s="4">
        <f>IF((C20+E20)-(D20+F20)&gt;0,(C20+E20)-(D20+F20),0)</f>
      </c>
      <c r="H20" s="4">
        <f>IF((D20+F20)-(C20+E20)&gt;0,(D20+F20)-(C20+E20),0)</f>
      </c>
    </row>
    <row r="21">
      <c r="A21" s="9">
        <v>891</v>
      </c>
      <c r="B21" s="2" t="inlineStr">
        <is>
          <t xml:space="preserve">Impots sur le resultat</t>
        </is>
      </c>
      <c r="C21" s="4">
        <f>SUMIFS(Journal!$F:$F,Journal!$C:$C,A21,Journal!$B:$B,"OUV")</f>
      </c>
      <c r="D21" s="4">
        <f>SUMIFS(Journal!$G:$G,Journal!$C:$C,A21,Journal!$B:$B,"OUV")</f>
      </c>
      <c r="E21" s="4">
        <f>SUMIFS(Journal!$F:$F,Journal!$C:$C,A21,Journal!$B:$B,"&lt;&gt;OUV")</f>
      </c>
      <c r="F21" s="4">
        <f>SUMIFS(Journal!$G:$G,Journal!$C:$C,A21,Journal!$B:$B,"&lt;&gt;OUV")</f>
      </c>
      <c r="G21" s="4">
        <f>IF((C21+E21)-(D21+F21)&gt;0,(C21+E21)-(D21+F21),0)</f>
      </c>
      <c r="H21" s="4">
        <f>IF((D21+F21)-(C21+E21)&gt;0,(D21+F21)-(C21+E21),0)</f>
      </c>
    </row>
    <row r="22">
      <c r="A22" s="2"/>
      <c r="B22" s="3" t="inlineStr">
        <is>
          <t xml:space="preserve">TOTAUX</t>
        </is>
      </c>
      <c r="C22" s="5">
        <f>SUM(C3:C21)</f>
      </c>
      <c r="D22" s="5">
        <f>SUM(D3:D21)</f>
      </c>
      <c r="E22" s="5">
        <f>SUM(E3:E21)</f>
      </c>
      <c r="F22" s="5">
        <f>SUM(F3:F21)</f>
      </c>
      <c r="G22" s="5">
        <f>SUM(G3:G21)</f>
      </c>
      <c r="H22" s="5">
        <f>SUM(H3:H21)</f>
      </c>
    </row>
  </sheetData>
  <mergeCells count="1">
    <mergeCell ref="A1:H1"/>
  </mergeCell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48" customWidth="1"/>
    <col min="2" max="2" width="18" customWidth="1"/>
  </cols>
  <sheetData>
    <row r="1">
      <c r="A1" s="8" t="inlineStr">
        <is>
          <t xml:space="preserve">COMPTE DE RESULTAT OHADA (Soldes Intermediaires de Gestion) - 2025</t>
        </is>
      </c>
    </row>
    <row r="2">
      <c r="A2" s="1" t="inlineStr">
        <is>
          <t xml:space="preserve">Poste</t>
        </is>
      </c>
      <c r="B2" s="1" t="inlineStr">
        <is>
          <t xml:space="preserve">Montant</t>
        </is>
      </c>
    </row>
    <row r="3">
      <c r="A3" s="2" t="inlineStr">
        <is>
          <t xml:space="preserve">Ventes de marchandises</t>
        </is>
      </c>
      <c r="B3" s="4">
        <f>Balance!H20</f>
      </c>
    </row>
    <row r="4">
      <c r="A4" s="2" t="inlineStr">
        <is>
          <t xml:space="preserve">Achats de marchandises</t>
        </is>
      </c>
      <c r="B4" s="4">
        <f>-Balance!G14</f>
      </c>
    </row>
    <row r="5">
      <c r="A5" s="2" t="inlineStr">
        <is>
          <t xml:space="preserve">Variation de stocks de marchandises</t>
        </is>
      </c>
      <c r="B5" s="4">
        <f>-(Balance!G15-Balance!H15)</f>
      </c>
    </row>
    <row r="6">
      <c r="A6" s="3" t="inlineStr">
        <is>
          <t xml:space="preserve">MARGE COMMERCIALE</t>
        </is>
      </c>
      <c r="B6" s="5">
        <f>B3+B4+B5</f>
      </c>
    </row>
    <row r="7">
      <c r="A7" s="2" t="inlineStr">
        <is>
          <t xml:space="preserve">Services exterieurs</t>
        </is>
      </c>
      <c r="B7" s="4">
        <f>-Balance!G16</f>
      </c>
    </row>
    <row r="8">
      <c r="A8" s="3" t="inlineStr">
        <is>
          <t xml:space="preserve">VALEUR AJOUTEE</t>
        </is>
      </c>
      <c r="B8" s="5">
        <f>B6+B7</f>
      </c>
    </row>
    <row r="9">
      <c r="A9" s="2" t="inlineStr">
        <is>
          <t xml:space="preserve">Charges de personnel</t>
        </is>
      </c>
      <c r="B9" s="4">
        <f>-Balance!G17</f>
      </c>
    </row>
    <row r="10">
      <c r="A10" s="3" t="inlineStr">
        <is>
          <t xml:space="preserve">EXCEDENT BRUT D'EXPLOITATION (EBE)</t>
        </is>
      </c>
      <c r="B10" s="5">
        <f>B8+B9</f>
      </c>
    </row>
    <row r="11">
      <c r="A11" s="2" t="inlineStr">
        <is>
          <t xml:space="preserve">Dotations aux amortissements</t>
        </is>
      </c>
      <c r="B11" s="4">
        <f>-Balance!G19</f>
      </c>
    </row>
    <row r="12">
      <c r="A12" s="3" t="inlineStr">
        <is>
          <t xml:space="preserve">RESULTAT D'EXPLOITATION</t>
        </is>
      </c>
      <c r="B12" s="5">
        <f>B10+B11</f>
      </c>
    </row>
    <row r="13">
      <c r="A13" s="2" t="inlineStr">
        <is>
          <t xml:space="preserve">Charges financieres</t>
        </is>
      </c>
      <c r="B13" s="4">
        <f>-Balance!G18</f>
      </c>
    </row>
    <row r="14">
      <c r="A14" s="3" t="inlineStr">
        <is>
          <t xml:space="preserve">RESULTAT FINANCIER</t>
        </is>
      </c>
      <c r="B14" s="5">
        <f>B13</f>
      </c>
    </row>
    <row r="15">
      <c r="A15" s="3" t="inlineStr">
        <is>
          <t xml:space="preserve">RESULTAT DES ACTIVITES ORDINAIRES</t>
        </is>
      </c>
      <c r="B15" s="5">
        <f>B12+B14</f>
      </c>
    </row>
    <row r="16">
      <c r="A16" s="2" t="inlineStr">
        <is>
          <t xml:space="preserve">Resultat hors activites ordinaires (HAO)</t>
        </is>
      </c>
      <c r="B16" s="4">
        <f>0</f>
      </c>
    </row>
    <row r="17">
      <c r="A17" s="3" t="inlineStr">
        <is>
          <t xml:space="preserve">RESULTAT AVANT IMPOT</t>
        </is>
      </c>
      <c r="B17" s="5">
        <f>B15+B16</f>
      </c>
    </row>
    <row r="18">
      <c r="A18" s="2" t="inlineStr">
        <is>
          <t xml:space="preserve">Impots sur le resultat</t>
        </is>
      </c>
      <c r="B18" s="4">
        <f>-Balance!G21</f>
      </c>
    </row>
    <row r="19">
      <c r="A19" s="3" t="inlineStr">
        <is>
          <t xml:space="preserve">RESULTAT NET DE L'EXERCICE</t>
        </is>
      </c>
      <c r="B19" s="5">
        <f>B17+B18</f>
      </c>
    </row>
  </sheetData>
  <mergeCells count="1">
    <mergeCell ref="A1:B1"/>
  </mergeCells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42" customWidth="1"/>
    <col min="2" max="2" width="14" customWidth="1"/>
    <col min="3" max="3" width="14" customWidth="1"/>
    <col min="4" max="4" width="14" customWidth="1"/>
  </cols>
  <sheetData>
    <row r="1">
      <c r="A1" s="8" t="inlineStr">
        <is>
          <t xml:space="preserve">BILAN OHADA au 31/12/2025</t>
        </is>
      </c>
    </row>
    <row r="2">
      <c r="A2" s="1" t="inlineStr">
        <is>
          <t xml:space="preserve">ACTIF</t>
        </is>
      </c>
      <c r="B2" s="1" t="inlineStr">
        <is>
          <t xml:space="preserve">Brut</t>
        </is>
      </c>
      <c r="C2" s="1" t="inlineStr">
        <is>
          <t xml:space="preserve">Amort./Depr.</t>
        </is>
      </c>
      <c r="D2" s="1" t="inlineStr">
        <is>
          <t xml:space="preserve">Net</t>
        </is>
      </c>
    </row>
    <row r="3">
      <c r="A3" s="3" t="inlineStr">
        <is>
          <t xml:space="preserve">Actif immobilise</t>
        </is>
      </c>
      <c r="B3" s="3"/>
      <c r="C3" s="3"/>
      <c r="D3" s="3"/>
    </row>
    <row r="4">
      <c r="A4" s="2" t="inlineStr">
        <is>
          <t xml:space="preserve">Immobilisations corporelles</t>
        </is>
      </c>
      <c r="B4" s="4">
        <f>Balance!G7</f>
      </c>
      <c r="C4" s="4">
        <f>Balance!H8</f>
      </c>
      <c r="D4" s="4">
        <f>B4-C4</f>
      </c>
    </row>
    <row r="5">
      <c r="A5" s="3" t="inlineStr">
        <is>
          <t xml:space="preserve">Total actif immobilise</t>
        </is>
      </c>
      <c r="B5" s="5"/>
      <c r="C5" s="5"/>
      <c r="D5" s="5">
        <f>D4</f>
      </c>
    </row>
    <row r="6">
      <c r="A6" s="3" t="inlineStr">
        <is>
          <t xml:space="preserve">Actif circulant</t>
        </is>
      </c>
      <c r="B6" s="3"/>
      <c r="C6" s="3"/>
      <c r="D6" s="3"/>
    </row>
    <row r="7">
      <c r="A7" s="2" t="inlineStr">
        <is>
          <t xml:space="preserve">Stocks de marchandises</t>
        </is>
      </c>
      <c r="B7" s="4">
        <f>Balance!G9</f>
      </c>
      <c r="C7" s="4">
        <f>0</f>
      </c>
      <c r="D7" s="4">
        <f>B7-C7</f>
      </c>
    </row>
    <row r="8">
      <c r="A8" s="2" t="inlineStr">
        <is>
          <t xml:space="preserve">Creances clients</t>
        </is>
      </c>
      <c r="B8" s="4">
        <f>Balance!G11</f>
      </c>
      <c r="C8" s="4">
        <f>0</f>
      </c>
      <c r="D8" s="4">
        <f>B8-C8</f>
      </c>
    </row>
    <row r="9">
      <c r="A9" s="3" t="inlineStr">
        <is>
          <t xml:space="preserve">Total actif circulant</t>
        </is>
      </c>
      <c r="B9" s="5"/>
      <c r="C9" s="5"/>
      <c r="D9" s="5">
        <f>D7+D8</f>
      </c>
    </row>
    <row r="10">
      <c r="A10" s="3" t="inlineStr">
        <is>
          <t xml:space="preserve">Tresorerie-Actif</t>
        </is>
      </c>
      <c r="B10" s="3"/>
      <c r="C10" s="3"/>
      <c r="D10" s="3"/>
    </row>
    <row r="11">
      <c r="A11" s="2" t="inlineStr">
        <is>
          <t xml:space="preserve">Banques</t>
        </is>
      </c>
      <c r="B11" s="4">
        <f>Balance!G13</f>
      </c>
      <c r="C11" s="4">
        <f>0</f>
      </c>
      <c r="D11" s="4">
        <f>B11-C11</f>
      </c>
    </row>
    <row r="12">
      <c r="A12" s="3" t="inlineStr">
        <is>
          <t xml:space="preserve">Total tresorerie-actif</t>
        </is>
      </c>
      <c r="B12" s="5"/>
      <c r="C12" s="5"/>
      <c r="D12" s="5">
        <f>D11</f>
      </c>
    </row>
    <row r="13">
      <c r="A13" s="3" t="inlineStr">
        <is>
          <t xml:space="preserve">TOTAL ACTIF</t>
        </is>
      </c>
      <c r="B13" s="5">
        <f>B4+B7+B8+B11</f>
      </c>
      <c r="C13" s="5">
        <f>C4</f>
      </c>
      <c r="D13" s="5">
        <f>D5+D9+D12</f>
      </c>
    </row>
    <row r="14">
      <c r="A14" s="2"/>
      <c r="B14" s="2"/>
      <c r="C14" s="2"/>
      <c r="D14" s="2"/>
    </row>
    <row r="15">
      <c r="A15" s="1" t="inlineStr">
        <is>
          <t xml:space="preserve">PASSIF</t>
        </is>
      </c>
      <c r="B15" s="1"/>
      <c r="C15" s="1"/>
      <c r="D15" s="1" t="inlineStr">
        <is>
          <t xml:space="preserve">Net</t>
        </is>
      </c>
    </row>
    <row r="16">
      <c r="A16" s="3" t="inlineStr">
        <is>
          <t xml:space="preserve">Capitaux propres</t>
        </is>
      </c>
      <c r="B16" s="3"/>
      <c r="C16" s="3"/>
      <c r="D16" s="3"/>
    </row>
    <row r="17">
      <c r="A17" s="2" t="inlineStr">
        <is>
          <t xml:space="preserve">Capital social</t>
        </is>
      </c>
      <c r="B17" s="4"/>
      <c r="C17" s="4"/>
      <c r="D17" s="4">
        <f>Balance!H3</f>
      </c>
    </row>
    <row r="18">
      <c r="A18" s="2" t="inlineStr">
        <is>
          <t xml:space="preserve">Reserves</t>
        </is>
      </c>
      <c r="B18" s="4"/>
      <c r="C18" s="4"/>
      <c r="D18" s="4">
        <f>Balance!H4</f>
      </c>
    </row>
    <row r="19">
      <c r="A19" s="2" t="inlineStr">
        <is>
          <t xml:space="preserve">Report a nouveau</t>
        </is>
      </c>
      <c r="B19" s="4"/>
      <c r="C19" s="4"/>
      <c r="D19" s="4">
        <f>Balance!H5-Balance!G5</f>
      </c>
    </row>
    <row r="20">
      <c r="A20" s="2" t="inlineStr">
        <is>
          <t xml:space="preserve">Resultat net de l'exercice</t>
        </is>
      </c>
      <c r="B20" s="4"/>
      <c r="C20" s="4"/>
      <c r="D20" s="4">
        <f>Resultat!B19</f>
      </c>
    </row>
    <row r="21">
      <c r="A21" s="3" t="inlineStr">
        <is>
          <t xml:space="preserve">Total capitaux propres</t>
        </is>
      </c>
      <c r="B21" s="5"/>
      <c r="C21" s="5"/>
      <c r="D21" s="5">
        <f>D17+D18+D19+D20</f>
      </c>
    </row>
    <row r="22">
      <c r="A22" s="3" t="inlineStr">
        <is>
          <t xml:space="preserve">Dettes financieres</t>
        </is>
      </c>
      <c r="B22" s="3"/>
      <c r="C22" s="3"/>
      <c r="D22" s="3"/>
    </row>
    <row r="23">
      <c r="A23" s="2" t="inlineStr">
        <is>
          <t xml:space="preserve">Emprunts</t>
        </is>
      </c>
      <c r="B23" s="4"/>
      <c r="C23" s="4"/>
      <c r="D23" s="4">
        <f>Balance!H6</f>
      </c>
    </row>
    <row r="24">
      <c r="A24" s="3" t="inlineStr">
        <is>
          <t xml:space="preserve">Total dettes financieres</t>
        </is>
      </c>
      <c r="B24" s="5"/>
      <c r="C24" s="5"/>
      <c r="D24" s="5">
        <f>D23</f>
      </c>
    </row>
    <row r="25">
      <c r="A25" s="3" t="inlineStr">
        <is>
          <t xml:space="preserve">Passif circulant</t>
        </is>
      </c>
      <c r="B25" s="3"/>
      <c r="C25" s="3"/>
      <c r="D25" s="3"/>
    </row>
    <row r="26">
      <c r="A26" s="2" t="inlineStr">
        <is>
          <t xml:space="preserve">Fournisseurs</t>
        </is>
      </c>
      <c r="B26" s="4"/>
      <c r="C26" s="4"/>
      <c r="D26" s="4">
        <f>Balance!H10</f>
      </c>
    </row>
    <row r="27">
      <c r="A27" s="2" t="inlineStr">
        <is>
          <t xml:space="preserve">Etat, impot sur benefices</t>
        </is>
      </c>
      <c r="B27" s="4"/>
      <c r="C27" s="4"/>
      <c r="D27" s="4">
        <f>Balance!H12</f>
      </c>
    </row>
    <row r="28">
      <c r="A28" s="3" t="inlineStr">
        <is>
          <t xml:space="preserve">Total passif circulant</t>
        </is>
      </c>
      <c r="B28" s="5"/>
      <c r="C28" s="5"/>
      <c r="D28" s="5">
        <f>D26+D27</f>
      </c>
    </row>
    <row r="29">
      <c r="A29" s="3" t="inlineStr">
        <is>
          <t xml:space="preserve">TOTAL PASSIF</t>
        </is>
      </c>
      <c r="B29" s="5"/>
      <c r="C29" s="5"/>
      <c r="D29" s="5">
        <f>D21+D24+D28</f>
      </c>
    </row>
    <row r="30">
      <c r="A30" s="3" t="inlineStr">
        <is>
          <t xml:space="preserve">Controle (Actif - Passif)</t>
        </is>
      </c>
      <c r="B30" s="5"/>
      <c r="C30" s="5"/>
      <c r="D30" s="5">
        <f>D13-D29</f>
      </c>
    </row>
  </sheetData>
  <mergeCells count="1">
    <mergeCell ref="A1:D1"/>
  </mergeCells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42" customWidth="1"/>
    <col min="2" max="2" width="16" customWidth="1"/>
    <col min="3" max="3" width="3" customWidth="1"/>
    <col min="4" max="4" width="28" customWidth="1"/>
    <col min="5" max="5" width="14" customWidth="1"/>
  </cols>
  <sheetData>
    <row r="1">
      <c r="A1" s="8" t="inlineStr">
        <is>
          <t xml:space="preserve">TABLEAU DES FLUX DE TRESORERIE OHADA (indirecte) - 2025</t>
        </is>
      </c>
    </row>
    <row r="2">
      <c r="A2" s="1" t="inlineStr">
        <is>
          <t xml:space="preserve">Poste</t>
        </is>
      </c>
      <c r="B2" s="1" t="inlineStr">
        <is>
          <t xml:space="preserve">Montant</t>
        </is>
      </c>
      <c r="C2" s="2"/>
      <c r="D2" s="1" t="inlineStr">
        <is>
          <t xml:space="preserve">Soldes d'ouverture (01/01)</t>
        </is>
      </c>
      <c r="E2" s="1" t="inlineStr">
        <is>
          <t xml:space="preserve">Valeur</t>
        </is>
      </c>
    </row>
    <row r="3">
      <c r="A3" s="3" t="inlineStr">
        <is>
          <t xml:space="preserve">Flux des activites operationnelles</t>
        </is>
      </c>
      <c r="B3" s="3"/>
      <c r="C3" s="2"/>
      <c r="D3" s="2" t="inlineStr">
        <is>
          <t xml:space="preserve">Clients</t>
        </is>
      </c>
      <c r="E3" s="4">
        <v>30000</v>
      </c>
    </row>
    <row r="4">
      <c r="A4" s="2" t="inlineStr">
        <is>
          <t xml:space="preserve">Resultat avant impot</t>
        </is>
      </c>
      <c r="B4" s="4">
        <f>Resultat!B17</f>
      </c>
      <c r="C4" s="2"/>
      <c r="D4" s="2" t="inlineStr">
        <is>
          <t xml:space="preserve">Stocks</t>
        </is>
      </c>
      <c r="E4" s="4">
        <v>40000</v>
      </c>
    </row>
    <row r="5">
      <c r="A5" s="2" t="inlineStr">
        <is>
          <t xml:space="preserve">+ Dotations aux amortissements</t>
        </is>
      </c>
      <c r="B5" s="4">
        <f>Balance!G19</f>
      </c>
      <c r="C5" s="2"/>
      <c r="D5" s="2" t="inlineStr">
        <is>
          <t xml:space="preserve">Fournisseurs</t>
        </is>
      </c>
      <c r="E5" s="4">
        <v>25000</v>
      </c>
    </row>
    <row r="6">
      <c r="A6" s="2" t="inlineStr">
        <is>
          <t xml:space="preserve">+ Charges financieres</t>
        </is>
      </c>
      <c r="B6" s="4">
        <f>Balance!G18</f>
      </c>
      <c r="C6" s="2"/>
      <c r="D6" s="2" t="inlineStr">
        <is>
          <t xml:space="preserve">Immobilisations (brut)</t>
        </is>
      </c>
      <c r="E6" s="4">
        <v>200000</v>
      </c>
    </row>
    <row r="7">
      <c r="A7" s="3" t="inlineStr">
        <is>
          <t xml:space="preserve">Resultat avant variation du BFR</t>
        </is>
      </c>
      <c r="B7" s="5">
        <f>B4+B5+B6</f>
      </c>
      <c r="C7" s="2"/>
      <c r="D7" s="2" t="inlineStr">
        <is>
          <t xml:space="preserve">Emprunts</t>
        </is>
      </c>
      <c r="E7" s="4">
        <v>80000</v>
      </c>
    </row>
    <row r="8">
      <c r="A8" s="2" t="inlineStr">
        <is>
          <t xml:space="preserve">Variation des clients</t>
        </is>
      </c>
      <c r="B8" s="4">
        <f>-(Balance!G11-E3)</f>
      </c>
      <c r="C8" s="2"/>
      <c r="D8" s="2" t="inlineStr">
        <is>
          <t xml:space="preserve">Banques</t>
        </is>
      </c>
      <c r="E8" s="4">
        <v>50000</v>
      </c>
    </row>
    <row r="9">
      <c r="A9" s="2" t="inlineStr">
        <is>
          <t xml:space="preserve">Variation des stocks</t>
        </is>
      </c>
      <c r="B9" s="4">
        <f>-(Balance!G9-E4)</f>
      </c>
      <c r="C9" s="2"/>
      <c r="D9" s="2" t="inlineStr">
        <is>
          <t xml:space="preserve">Report a nouveau</t>
        </is>
      </c>
      <c r="E9" s="4">
        <v>15000</v>
      </c>
    </row>
    <row r="10">
      <c r="A10" s="2" t="inlineStr">
        <is>
          <t xml:space="preserve">Variation des fournisseurs</t>
        </is>
      </c>
      <c r="B10" s="4">
        <f>Balance!H10-E5</f>
      </c>
      <c r="C10" s="2"/>
    </row>
    <row r="11">
      <c r="A11" s="3" t="inlineStr">
        <is>
          <t xml:space="preserve">Tresorerie generee par l'exploitation</t>
        </is>
      </c>
      <c r="B11" s="5">
        <f>B7+B8+B9+B10</f>
      </c>
      <c r="C11" s="2"/>
    </row>
    <row r="12">
      <c r="A12" s="2" t="inlineStr">
        <is>
          <t xml:space="preserve">Interets payes</t>
        </is>
      </c>
      <c r="B12" s="4">
        <f>-Balance!G18</f>
      </c>
      <c r="C12" s="2"/>
    </row>
    <row r="13">
      <c r="A13" s="2" t="inlineStr">
        <is>
          <t xml:space="preserve">Impot paye</t>
        </is>
      </c>
      <c r="B13" s="4">
        <f>-(Balance!G21-Balance!H12)</f>
      </c>
      <c r="C13" s="2"/>
    </row>
    <row r="14">
      <c r="A14" s="3" t="inlineStr">
        <is>
          <t xml:space="preserve">Flux net operationnel</t>
        </is>
      </c>
      <c r="B14" s="5">
        <f>B11+B12+B13</f>
      </c>
      <c r="C14" s="2"/>
    </row>
    <row r="15">
      <c r="A15" s="3" t="inlineStr">
        <is>
          <t xml:space="preserve">Flux des activites d'investissement</t>
        </is>
      </c>
      <c r="B15" s="3"/>
      <c r="C15" s="2"/>
    </row>
    <row r="16">
      <c r="A16" s="2" t="inlineStr">
        <is>
          <t xml:space="preserve">Acquisition d'immobilisations</t>
        </is>
      </c>
      <c r="B16" s="4">
        <f>-(Balance!G7-E6)</f>
      </c>
      <c r="C16" s="2"/>
    </row>
    <row r="17">
      <c r="A17" s="3" t="inlineStr">
        <is>
          <t xml:space="preserve">Flux net d'investissement</t>
        </is>
      </c>
      <c r="B17" s="5">
        <f>B16</f>
      </c>
      <c r="C17" s="2"/>
    </row>
    <row r="18">
      <c r="A18" s="3" t="inlineStr">
        <is>
          <t xml:space="preserve">Flux des activites de financement</t>
        </is>
      </c>
      <c r="B18" s="3"/>
      <c r="C18" s="2"/>
    </row>
    <row r="19">
      <c r="A19" s="2" t="inlineStr">
        <is>
          <t xml:space="preserve">Variation des emprunts</t>
        </is>
      </c>
      <c r="B19" s="4">
        <f>Balance!H6-E7</f>
      </c>
      <c r="C19" s="2"/>
    </row>
    <row r="20">
      <c r="A20" s="2" t="inlineStr">
        <is>
          <t xml:space="preserve">Dividendes verses</t>
        </is>
      </c>
      <c r="B20" s="4">
        <f>-(E9-(Balance!H5-Balance!G5))</f>
      </c>
      <c r="C20" s="2"/>
    </row>
    <row r="21">
      <c r="A21" s="3" t="inlineStr">
        <is>
          <t xml:space="preserve">Flux net de financement</t>
        </is>
      </c>
      <c r="B21" s="5">
        <f>B19+B20</f>
      </c>
      <c r="C21" s="2"/>
    </row>
    <row r="22">
      <c r="A22" s="3" t="inlineStr">
        <is>
          <t xml:space="preserve">Variation nette de tresorerie</t>
        </is>
      </c>
      <c r="B22" s="5">
        <f>B14+B17+B21</f>
      </c>
      <c r="C22" s="2"/>
    </row>
    <row r="23">
      <c r="A23" s="2" t="inlineStr">
        <is>
          <t xml:space="preserve">Tresorerie a l'ouverture</t>
        </is>
      </c>
      <c r="B23" s="4">
        <f>E8</f>
      </c>
      <c r="C23" s="2"/>
    </row>
    <row r="24">
      <c r="A24" s="3" t="inlineStr">
        <is>
          <t xml:space="preserve">Tresorerie a la cloture</t>
        </is>
      </c>
      <c r="B24" s="5">
        <f>B23+B22</f>
      </c>
      <c r="C24" s="2"/>
    </row>
    <row r="25">
      <c r="A25" s="3" t="inlineStr">
        <is>
          <t xml:space="preserve">Controle (vs bilan)</t>
        </is>
      </c>
      <c r="B25" s="5">
        <f>B24-Balance!G13</f>
      </c>
      <c r="C25" s="2"/>
    </row>
  </sheetData>
  <mergeCells count="1">
    <mergeCell ref="A1:E1"/>
  </mergeCells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" width="42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8" t="inlineStr">
        <is>
          <t xml:space="preserve">NOTES ANNEXES AUX ETATS FINANCIERS - Exercice clos le 31/12/2025</t>
        </is>
      </c>
    </row>
    <row r="2"/>
    <row r="3">
      <c r="A3" s="1" t="inlineStr">
        <is>
          <t xml:space="preserve">NOTE 1 - PRINCIPES ET METHODES COMPTABLES</t>
        </is>
      </c>
    </row>
    <row r="4" ht="45" customHeight="1">
      <c r="A4" s="10" t="inlineStr">
        <is>
          <t xml:space="preserve">Les etats financiers sont etablis conformement au referentiel comptable SYSCOHADA revise. Ils sont presentes en francs CFA (FCFA) et couvrent l'exercice clos le 31 decembre 2025.</t>
        </is>
      </c>
    </row>
    <row r="5" ht="45" customHeight="1">
      <c r="A5" s="10" t="inlineStr">
        <is>
          <t xml:space="preserve">Methode generale d'evaluation : cout historique. Les immobilisations corporelles sont amorties selon le mode lineaire sur leur duree d'utilite estimee. Les stocks sont evalues au cout moyen pondere (CMP) et deprecies, le cas echeant, a la valeur nette de realisation si celle-ci est inferieure au cout.</t>
        </is>
      </c>
    </row>
    <row r="6"/>
    <row r="7">
      <c r="A7" s="1" t="inlineStr">
        <is>
          <t xml:space="preserve">NOTE 2 - IMMOBILISATIONS CORPORELLES</t>
        </is>
      </c>
    </row>
    <row r="8">
      <c r="A8" s="1" t="inlineStr">
        <is>
          <t xml:space="preserve">Rubrique</t>
        </is>
      </c>
      <c r="B8" s="1" t="inlineStr">
        <is>
          <t xml:space="preserve">Brut ouv.</t>
        </is>
      </c>
      <c r="C8" s="1" t="inlineStr">
        <is>
          <t xml:space="preserve">Acquisitions</t>
        </is>
      </c>
      <c r="D8" s="1" t="inlineStr">
        <is>
          <t xml:space="preserve">Cessions</t>
        </is>
      </c>
      <c r="E8" s="1" t="inlineStr">
        <is>
          <t xml:space="preserve">Brut clot.</t>
        </is>
      </c>
      <c r="F8" s="1" t="inlineStr">
        <is>
          <t xml:space="preserve">Amort. ouv.</t>
        </is>
      </c>
      <c r="G8" s="1" t="inlineStr">
        <is>
          <t xml:space="preserve">Dotations</t>
        </is>
      </c>
      <c r="H8" s="1" t="inlineStr">
        <is>
          <t xml:space="preserve">Amort. clot.</t>
        </is>
      </c>
      <c r="I8" s="1" t="inlineStr">
        <is>
          <t xml:space="preserve">VNC clot.</t>
        </is>
      </c>
    </row>
    <row r="9">
      <c r="A9" s="2" t="inlineStr">
        <is>
          <t xml:space="preserve">Immobilisations corporelles</t>
        </is>
      </c>
      <c r="B9" s="4">
        <f>Balance!C7</f>
      </c>
      <c r="C9" s="4">
        <f>Balance!E7</f>
      </c>
      <c r="D9" s="4">
        <f>Balance!F7</f>
      </c>
      <c r="E9" s="4">
        <f>Balance!G7</f>
      </c>
      <c r="F9" s="4">
        <f>Balance!D8</f>
      </c>
      <c r="G9" s="4">
        <f>Balance!F8</f>
      </c>
      <c r="H9" s="4">
        <f>Balance!H8</f>
      </c>
      <c r="I9" s="5">
        <f>E9-H9</f>
      </c>
    </row>
    <row r="10"/>
    <row r="11">
      <c r="A11" s="1" t="inlineStr">
        <is>
          <t xml:space="preserve">NOTE 3 - STOCKS</t>
        </is>
      </c>
    </row>
    <row r="12">
      <c r="A12" s="1" t="inlineStr">
        <is>
          <t xml:space="preserve">Rubrique</t>
        </is>
      </c>
      <c r="B12" s="1" t="inlineStr">
        <is>
          <t xml:space="preserve">Ouverture</t>
        </is>
      </c>
      <c r="C12" s="1" t="inlineStr">
        <is>
          <t xml:space="preserve">Destockage net</t>
        </is>
      </c>
      <c r="D12" s="1" t="inlineStr">
        <is>
          <t xml:space="preserve">Cloture</t>
        </is>
      </c>
    </row>
    <row r="13">
      <c r="A13" s="2" t="inlineStr">
        <is>
          <t xml:space="preserve">Stocks de marchandises</t>
        </is>
      </c>
      <c r="B13" s="4">
        <f>Balance!C9</f>
      </c>
      <c r="C13" s="4">
        <f>Balance!F9</f>
      </c>
      <c r="D13" s="4">
        <f>Balance!G9</f>
      </c>
    </row>
    <row r="14"/>
    <row r="15">
      <c r="A15" s="1" t="inlineStr">
        <is>
          <t xml:space="preserve">NOTE 4 - CREANCES CLIENTS</t>
        </is>
      </c>
    </row>
    <row r="16">
      <c r="A16" s="1" t="inlineStr">
        <is>
          <t xml:space="preserve">Rubrique</t>
        </is>
      </c>
      <c r="B16" s="1" t="inlineStr">
        <is>
          <t xml:space="preserve">Ouverture</t>
        </is>
      </c>
      <c r="C16" s="1" t="inlineStr">
        <is>
          <t xml:space="preserve">Ventes exercice</t>
        </is>
      </c>
      <c r="D16" s="1" t="inlineStr">
        <is>
          <t xml:space="preserve">Encaissements</t>
        </is>
      </c>
      <c r="E16" s="1" t="inlineStr">
        <is>
          <t xml:space="preserve">Cloture</t>
        </is>
      </c>
    </row>
    <row r="17">
      <c r="A17" s="2" t="inlineStr">
        <is>
          <t xml:space="preserve">Clients</t>
        </is>
      </c>
      <c r="B17" s="4">
        <f>Balance!C11</f>
      </c>
      <c r="C17" s="4">
        <f>Balance!E11</f>
      </c>
      <c r="D17" s="4">
        <f>Balance!F11</f>
      </c>
      <c r="E17" s="4">
        <f>Balance!G11</f>
      </c>
    </row>
    <row r="18" ht="45" customHeight="1">
      <c r="A18" s="10" t="inlineStr">
        <is>
          <t xml:space="preserve">Analyse par anteriorite non detaillee dans cet exemple. Aucune creance n'a ete identifiee comme douteuse ou depreciee a la cloture de l'exercice.</t>
        </is>
      </c>
    </row>
    <row r="19"/>
    <row r="20">
      <c r="A20" s="1" t="inlineStr">
        <is>
          <t xml:space="preserve">NOTE 5 - DISPONIBILITES (TRESORERIE)</t>
        </is>
      </c>
    </row>
    <row r="21">
      <c r="A21" s="1" t="inlineStr">
        <is>
          <t xml:space="preserve">Rubrique</t>
        </is>
      </c>
      <c r="B21" s="1" t="inlineStr">
        <is>
          <t xml:space="preserve">Ouverture</t>
        </is>
      </c>
      <c r="C21" s="1" t="inlineStr">
        <is>
          <t xml:space="preserve">Encaissements</t>
        </is>
      </c>
      <c r="D21" s="1" t="inlineStr">
        <is>
          <t xml:space="preserve">Decaissements</t>
        </is>
      </c>
      <c r="E21" s="1" t="inlineStr">
        <is>
          <t xml:space="preserve">Cloture</t>
        </is>
      </c>
    </row>
    <row r="22">
      <c r="A22" s="2" t="inlineStr">
        <is>
          <t xml:space="preserve">Banques</t>
        </is>
      </c>
      <c r="B22" s="4">
        <f>Balance!C13</f>
      </c>
      <c r="C22" s="4">
        <f>Balance!E13</f>
      </c>
      <c r="D22" s="4">
        <f>Balance!F13</f>
      </c>
      <c r="E22" s="4">
        <f>Balance!G13</f>
      </c>
    </row>
    <row r="23"/>
    <row r="24">
      <c r="A24" s="1" t="inlineStr">
        <is>
          <t xml:space="preserve">NOTE 6 - VARIATION DES CAPITAUX PROPRES</t>
        </is>
      </c>
    </row>
    <row r="25">
      <c r="A25" s="1" t="inlineStr">
        <is>
          <t xml:space="preserve">Rubrique</t>
        </is>
      </c>
      <c r="B25" s="1" t="inlineStr">
        <is>
          <t xml:space="preserve">Capital</t>
        </is>
      </c>
      <c r="C25" s="1" t="inlineStr">
        <is>
          <t xml:space="preserve">Reserves</t>
        </is>
      </c>
      <c r="D25" s="1" t="inlineStr">
        <is>
          <t xml:space="preserve">Report a nouveau</t>
        </is>
      </c>
      <c r="E25" s="1" t="inlineStr">
        <is>
          <t xml:space="preserve">Resultat net</t>
        </is>
      </c>
      <c r="F25" s="1" t="inlineStr">
        <is>
          <t xml:space="preserve">Total</t>
        </is>
      </c>
    </row>
    <row r="26">
      <c r="A26" s="2" t="inlineStr">
        <is>
          <t xml:space="preserve">Solde au 01/01/2025</t>
        </is>
      </c>
      <c r="B26" s="4">
        <f>Balance!D3</f>
      </c>
      <c r="C26" s="4">
        <f>Balance!D4</f>
      </c>
      <c r="D26" s="4">
        <f>Balance!D5</f>
      </c>
      <c r="E26" s="4">
        <v>0</v>
      </c>
      <c r="F26" s="5">
        <f>B26+C26+D26+E26</f>
      </c>
    </row>
    <row r="27">
      <c r="A27" s="2" t="inlineStr">
        <is>
          <t xml:space="preserve">Dividendes verses</t>
        </is>
      </c>
      <c r="B27" s="4">
        <v>0</v>
      </c>
      <c r="C27" s="4">
        <v>0</v>
      </c>
      <c r="D27" s="4">
        <f>-Balance!E5</f>
      </c>
      <c r="E27" s="4">
        <v>0</v>
      </c>
      <c r="F27" s="5">
        <f>B27+C27+D27+E27</f>
      </c>
    </row>
    <row r="28">
      <c r="A28" s="2" t="inlineStr">
        <is>
          <t xml:space="preserve">Resultat net de l'exercice</t>
        </is>
      </c>
      <c r="B28" s="4">
        <v>0</v>
      </c>
      <c r="C28" s="4">
        <v>0</v>
      </c>
      <c r="D28" s="4">
        <v>0</v>
      </c>
      <c r="E28" s="4">
        <f>Resultat!B19</f>
      </c>
      <c r="F28" s="5">
        <f>B28+C28+D28+E28</f>
      </c>
    </row>
    <row r="29">
      <c r="A29" s="3" t="inlineStr">
        <is>
          <t xml:space="preserve">Solde au 31/12/2025</t>
        </is>
      </c>
      <c r="B29" s="5">
        <f>Balance!H3</f>
      </c>
      <c r="C29" s="5">
        <f>Balance!H4</f>
      </c>
      <c r="D29" s="5">
        <f>Balance!H5-Balance!G5</f>
      </c>
      <c r="E29" s="5">
        <f>Resultat!B19</f>
      </c>
      <c r="F29" s="5">
        <f>Bilan!D21</f>
      </c>
    </row>
    <row r="30"/>
    <row r="31">
      <c r="A31" s="1" t="inlineStr">
        <is>
          <t xml:space="preserve">NOTE 7 - EMPRUNTS ET DETTES FINANCIERES</t>
        </is>
      </c>
    </row>
    <row r="32">
      <c r="A32" s="1" t="inlineStr">
        <is>
          <t xml:space="preserve">Rubrique</t>
        </is>
      </c>
      <c r="B32" s="1" t="inlineStr">
        <is>
          <t xml:space="preserve">Ouverture</t>
        </is>
      </c>
      <c r="C32" s="1" t="inlineStr">
        <is>
          <t xml:space="preserve">Nouveaux emprunts</t>
        </is>
      </c>
      <c r="D32" s="1" t="inlineStr">
        <is>
          <t xml:space="preserve">Remboursements</t>
        </is>
      </c>
      <c r="E32" s="1" t="inlineStr">
        <is>
          <t xml:space="preserve">Cloture</t>
        </is>
      </c>
    </row>
    <row r="33">
      <c r="A33" s="2" t="inlineStr">
        <is>
          <t xml:space="preserve">Emprunts</t>
        </is>
      </c>
      <c r="B33" s="4">
        <f>Balance!D6</f>
      </c>
      <c r="C33" s="4">
        <f>Balance!F6</f>
      </c>
      <c r="D33" s="4">
        <f>Balance!E6</f>
      </c>
      <c r="E33" s="4">
        <f>Balance!H6</f>
      </c>
    </row>
    <row r="34" ht="45" customHeight="1">
      <c r="A34" s="10" t="inlineStr">
        <is>
          <t xml:space="preserve">A titre d'hypothese simplificatrice pour cet exemple, l'integralite de l'encours au 31/12/2025 est presentee en dettes financieres a plus d'un an ; aucun echeancier detaille n'est disponible.</t>
        </is>
      </c>
    </row>
    <row r="35"/>
    <row r="36">
      <c r="A36" s="1" t="inlineStr">
        <is>
          <t xml:space="preserve">NOTE 8 - FOURNISSEURS ET AUTRES DETTES</t>
        </is>
      </c>
    </row>
    <row r="37">
      <c r="A37" s="1" t="inlineStr">
        <is>
          <t xml:space="preserve">Rubrique</t>
        </is>
      </c>
      <c r="B37" s="1" t="inlineStr">
        <is>
          <t xml:space="preserve">Ouverture</t>
        </is>
      </c>
      <c r="C37" s="1" t="inlineStr">
        <is>
          <t xml:space="preserve">Mouv. debit</t>
        </is>
      </c>
      <c r="D37" s="1" t="inlineStr">
        <is>
          <t xml:space="preserve">Mouv. credit</t>
        </is>
      </c>
      <c r="E37" s="1" t="inlineStr">
        <is>
          <t xml:space="preserve">Cloture</t>
        </is>
      </c>
    </row>
    <row r="38">
      <c r="A38" s="2" t="inlineStr">
        <is>
          <t xml:space="preserve">Fournisseurs</t>
        </is>
      </c>
      <c r="B38" s="4">
        <f>Balance!D10</f>
      </c>
      <c r="C38" s="4">
        <f>Balance!E10</f>
      </c>
      <c r="D38" s="4">
        <f>Balance!F10</f>
      </c>
      <c r="E38" s="4">
        <f>Balance!H10</f>
      </c>
    </row>
    <row r="39">
      <c r="A39" s="2" t="inlineStr">
        <is>
          <t xml:space="preserve">Etat, impot sur benefices</t>
        </is>
      </c>
      <c r="B39" s="4">
        <f>Balance!D12</f>
      </c>
      <c r="C39" s="4">
        <f>Balance!E12</f>
      </c>
      <c r="D39" s="4">
        <f>Balance!F12</f>
      </c>
      <c r="E39" s="4">
        <f>Balance!H12</f>
      </c>
    </row>
    <row r="40"/>
    <row r="41">
      <c r="A41" s="1" t="inlineStr">
        <is>
          <t xml:space="preserve">NOTE 9 - PROVISIONS ET ENGAGEMENTS HORS BILAN</t>
        </is>
      </c>
    </row>
    <row r="42" ht="45" customHeight="1">
      <c r="A42" s="10" t="inlineStr">
        <is>
          <t xml:space="preserve">Aucune provision pour risques et charges n'a ete comptabilisee au titre de l'exercice. Aucun engagement hors bilan significatif (garanties donnees, cautions, engagements de credit-bail) n'a ete identifie a la date de cloture.</t>
        </is>
      </c>
    </row>
    <row r="43"/>
    <row r="44">
      <c r="A44" s="1" t="inlineStr">
        <is>
          <t xml:space="preserve">NOTE 10 - IMPOTS SUR LE RESULTAT</t>
        </is>
      </c>
    </row>
    <row r="45">
      <c r="A45" s="1" t="inlineStr">
        <is>
          <t xml:space="preserve">Rubrique</t>
        </is>
      </c>
      <c r="B45" s="1" t="inlineStr">
        <is>
          <t xml:space="preserve">Montant</t>
        </is>
      </c>
    </row>
    <row r="46">
      <c r="A46" s="2" t="inlineStr">
        <is>
          <t xml:space="preserve">Resultat avant impot</t>
        </is>
      </c>
      <c r="B46" s="4">
        <f>Resultat!B17</f>
      </c>
    </row>
    <row r="47">
      <c r="A47" s="2" t="inlineStr">
        <is>
          <t xml:space="preserve">Charge d'impot sur le resultat</t>
        </is>
      </c>
      <c r="B47" s="4">
        <f>Resultat!B18</f>
      </c>
    </row>
    <row r="48">
      <c r="A48" s="3" t="inlineStr">
        <is>
          <t xml:space="preserve">Taux effectif d'imposition</t>
        </is>
      </c>
      <c r="B48" s="6">
        <f>-B47/B46</f>
      </c>
    </row>
    <row r="49"/>
    <row r="50">
      <c r="A50" s="1" t="inlineStr">
        <is>
          <t xml:space="preserve">NOTE 11 - CHARGES DE PERSONNEL</t>
        </is>
      </c>
    </row>
    <row r="51">
      <c r="A51" s="1" t="inlineStr">
        <is>
          <t xml:space="preserve">Rubrique</t>
        </is>
      </c>
      <c r="B51" s="1" t="inlineStr">
        <is>
          <t xml:space="preserve">Montant</t>
        </is>
      </c>
    </row>
    <row r="52">
      <c r="A52" s="2" t="inlineStr">
        <is>
          <t xml:space="preserve">Charges de personnel de l'exercice</t>
        </is>
      </c>
      <c r="B52" s="4">
        <f>Balance!E17</f>
      </c>
    </row>
    <row r="53" ht="45" customHeight="1">
      <c r="A53" s="10" t="inlineStr">
        <is>
          <t xml:space="preserve">Effectif moyen de l'exercice : non renseigne dans cet exemple simplifie.</t>
        </is>
      </c>
    </row>
    <row r="54"/>
    <row r="55">
      <c r="A55" s="1" t="inlineStr">
        <is>
          <t xml:space="preserve">NOTE 12 - EVENEMENTS POSTERIEURS A LA CLOTURE</t>
        </is>
      </c>
    </row>
    <row r="56" ht="45" customHeight="1">
      <c r="A56" s="10" t="inlineStr">
        <is>
          <t xml:space="preserve">Neant a la date d'arrete des presents etats financiers.</t>
        </is>
      </c>
    </row>
  </sheetData>
  <mergeCells count="20">
    <mergeCell ref="A1:I1"/>
    <mergeCell ref="A3:I3"/>
    <mergeCell ref="A7:I7"/>
    <mergeCell ref="A11:I11"/>
    <mergeCell ref="A15:I15"/>
    <mergeCell ref="A20:I20"/>
    <mergeCell ref="A24:I24"/>
    <mergeCell ref="A31:I31"/>
    <mergeCell ref="A36:I36"/>
    <mergeCell ref="A41:I41"/>
    <mergeCell ref="A44:I44"/>
    <mergeCell ref="A50:I50"/>
    <mergeCell ref="A55:I55"/>
    <mergeCell ref="A4:I4"/>
    <mergeCell ref="A5:I5"/>
    <mergeCell ref="A18:I18"/>
    <mergeCell ref="A34:I34"/>
    <mergeCell ref="A42:I42"/>
    <mergeCell ref="A53:I53"/>
    <mergeCell ref="A56:I56"/>
  </mergeCell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2" topLeftCell="A3" activePane="bottomLeft" state="frozen"/>
    </sheetView>
  </sheetViews>
  <cols>
    <col min="1" max="1" width="40" customWidth="1"/>
    <col min="2" max="2" width="14" customWidth="1"/>
    <col min="3" max="3" width="56" customWidth="1"/>
  </cols>
  <sheetData>
    <row r="1">
      <c r="A1" s="8" t="inlineStr">
        <is>
          <t xml:space="preserve">RATIOS FINANCIERS OHADA - Exercice 2025</t>
        </is>
      </c>
    </row>
    <row r="2">
      <c r="A2" s="1" t="inlineStr">
        <is>
          <t xml:space="preserve">Ratio</t>
        </is>
      </c>
      <c r="B2" s="1" t="inlineStr">
        <is>
          <t xml:space="preserve">Valeur</t>
        </is>
      </c>
      <c r="C2" s="1" t="inlineStr">
        <is>
          <t xml:space="preserve">Formule / interpretation</t>
        </is>
      </c>
    </row>
    <row r="3">
      <c r="A3" s="2" t="inlineStr">
        <is>
          <t xml:space="preserve">Liquidite generale</t>
        </is>
      </c>
      <c r="B3" s="7">
        <f>(Bilan!D9+Bilan!D12)/Bilan!D28</f>
      </c>
      <c r="C3" s="2" t="inlineStr">
        <is>
          <t xml:space="preserve">(Actif circulant + Tresorerie) / Passif circulant</t>
        </is>
      </c>
    </row>
    <row r="4">
      <c r="A4" s="2" t="inlineStr">
        <is>
          <t xml:space="preserve">Liquidite reduite</t>
        </is>
      </c>
      <c r="B4" s="7">
        <f>(Bilan!D9+Bilan!D12-Bilan!D7)/Bilan!D28</f>
      </c>
      <c r="C4" s="2" t="inlineStr">
        <is>
          <t xml:space="preserve">hors stocks / Passif circulant</t>
        </is>
      </c>
    </row>
    <row r="5">
      <c r="A5" s="2" t="inlineStr">
        <is>
          <t xml:space="preserve">Autonomie financiere</t>
        </is>
      </c>
      <c r="B5" s="6">
        <f>Bilan!D21/Bilan!D13</f>
      </c>
      <c r="C5" s="2" t="inlineStr">
        <is>
          <t xml:space="preserve">Capitaux propres / Total actif</t>
        </is>
      </c>
    </row>
    <row r="6">
      <c r="A6" s="2" t="inlineStr">
        <is>
          <t xml:space="preserve">Endettement (Dettes fin./CP)</t>
        </is>
      </c>
      <c r="B6" s="7">
        <f>Bilan!D24/Bilan!D21</f>
      </c>
      <c r="C6" s="2" t="inlineStr">
        <is>
          <t xml:space="preserve">Emprunts / Capitaux propres</t>
        </is>
      </c>
    </row>
    <row r="7">
      <c r="A7" s="2" t="inlineStr">
        <is>
          <t xml:space="preserve">Taux de marge commerciale</t>
        </is>
      </c>
      <c r="B7" s="6">
        <f>Resultat!B6/Resultat!B3</f>
      </c>
      <c r="C7" s="2" t="inlineStr">
        <is>
          <t xml:space="preserve">Marge commerciale / Ventes</t>
        </is>
      </c>
    </row>
    <row r="8">
      <c r="A8" s="2" t="inlineStr">
        <is>
          <t xml:space="preserve">Taux de valeur ajoutee</t>
        </is>
      </c>
      <c r="B8" s="6">
        <f>Resultat!B8/Resultat!B3</f>
      </c>
      <c r="C8" s="2" t="inlineStr">
        <is>
          <t xml:space="preserve">Valeur ajoutee / Ventes</t>
        </is>
      </c>
    </row>
    <row r="9">
      <c r="A9" s="2" t="inlineStr">
        <is>
          <t xml:space="preserve">Marge nette</t>
        </is>
      </c>
      <c r="B9" s="6">
        <f>Resultat!B19/Resultat!B3</f>
      </c>
      <c r="C9" s="2" t="inlineStr">
        <is>
          <t xml:space="preserve">Resultat net / Ventes</t>
        </is>
      </c>
    </row>
    <row r="10">
      <c r="A10" s="2" t="inlineStr">
        <is>
          <t xml:space="preserve">Rentabilite des capitaux propres (ROE)</t>
        </is>
      </c>
      <c r="B10" s="6">
        <f>Resultat!B19/Bilan!D21</f>
      </c>
      <c r="C10" s="2" t="inlineStr">
        <is>
          <t xml:space="preserve">Resultat net / Capitaux propres</t>
        </is>
      </c>
    </row>
    <row r="11">
      <c r="A11" s="2" t="inlineStr">
        <is>
          <t xml:space="preserve">Rentabilite de l'actif (ROA)</t>
        </is>
      </c>
      <c r="B11" s="6">
        <f>Resultat!B19/Bilan!D13</f>
      </c>
      <c r="C11" s="2" t="inlineStr">
        <is>
          <t xml:space="preserve">Resultat net / Total actif</t>
        </is>
      </c>
    </row>
    <row r="12">
      <c r="A12" s="2" t="inlineStr">
        <is>
          <t xml:space="preserve">Rotation des stocks</t>
        </is>
      </c>
      <c r="B12" s="7">
        <f>-(Resultat!B4+Resultat!B5)/Bilan!D7</f>
      </c>
      <c r="C12" s="2" t="inlineStr">
        <is>
          <t xml:space="preserve">Cout d'achat des marchandises vendues / Stocks</t>
        </is>
      </c>
    </row>
    <row r="13">
      <c r="A13" s="2" t="inlineStr">
        <is>
          <t xml:space="preserve">Besoin en fonds de roulement</t>
        </is>
      </c>
      <c r="B13" s="4">
        <f>Bilan!D7+Bilan!D8-Bilan!D26</f>
      </c>
      <c r="C13" s="2" t="inlineStr">
        <is>
          <t xml:space="preserve">Stocks + Clients - Fournisseurs</t>
        </is>
      </c>
    </row>
  </sheetData>
  <mergeCells count="1">
    <mergeCell ref="A1:C1"/>
  </mergeCells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" width="30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</cols>
  <sheetData>
    <row r="1">
      <c r="A1" s="8" t="inlineStr">
        <is>
          <t xml:space="preserve">GRAPHIQUES - TABLEAU DE BORD 2025</t>
        </is>
      </c>
    </row>
    <row r="2"/>
    <row r="3">
      <c r="A3" s="1" t="inlineStr">
        <is>
          <t xml:space="preserve">EVOLUTION MENSUELLE (cumulee)</t>
        </is>
      </c>
    </row>
    <row r="4">
      <c r="A4" s="1" t="inlineStr">
        <is>
          <t xml:space="preserve">Mois</t>
        </is>
      </c>
      <c r="B4" s="1" t="inlineStr">
        <is>
          <t xml:space="preserve">Janv</t>
        </is>
      </c>
      <c r="C4" s="1" t="inlineStr">
        <is>
          <t xml:space="preserve">Fevr</t>
        </is>
      </c>
      <c r="D4" s="1" t="inlineStr">
        <is>
          <t xml:space="preserve">Mars</t>
        </is>
      </c>
      <c r="E4" s="1" t="inlineStr">
        <is>
          <t xml:space="preserve">Avr</t>
        </is>
      </c>
      <c r="F4" s="1" t="inlineStr">
        <is>
          <t xml:space="preserve">Mai</t>
        </is>
      </c>
      <c r="G4" s="1" t="inlineStr">
        <is>
          <t xml:space="preserve">Juin</t>
        </is>
      </c>
      <c r="H4" s="1" t="inlineStr">
        <is>
          <t xml:space="preserve">Juil</t>
        </is>
      </c>
      <c r="I4" s="1" t="inlineStr">
        <is>
          <t xml:space="preserve">Aout</t>
        </is>
      </c>
      <c r="J4" s="1" t="inlineStr">
        <is>
          <t xml:space="preserve">Sept</t>
        </is>
      </c>
      <c r="K4" s="1" t="inlineStr">
        <is>
          <t xml:space="preserve">Oct</t>
        </is>
      </c>
      <c r="L4" s="1" t="inlineStr">
        <is>
          <t xml:space="preserve">Nov</t>
        </is>
      </c>
      <c r="M4" s="1" t="inlineStr">
        <is>
          <t xml:space="preserve">Dec</t>
        </is>
      </c>
    </row>
    <row r="5">
      <c r="A5" s="2" t="inlineStr">
        <is>
          <t xml:space="preserve">N. mois</t>
        </is>
      </c>
      <c r="B5" s="9">
        <v>1</v>
      </c>
      <c r="C5" s="9">
        <v>2</v>
      </c>
      <c r="D5" s="9">
        <v>3</v>
      </c>
      <c r="E5" s="9">
        <v>4</v>
      </c>
      <c r="F5" s="9">
        <v>5</v>
      </c>
      <c r="G5" s="9">
        <v>6</v>
      </c>
      <c r="H5" s="9">
        <v>7</v>
      </c>
      <c r="I5" s="9">
        <v>8</v>
      </c>
      <c r="J5" s="9">
        <v>9</v>
      </c>
      <c r="K5" s="9">
        <v>10</v>
      </c>
      <c r="L5" s="9">
        <v>11</v>
      </c>
      <c r="M5" s="9">
        <v>12</v>
      </c>
    </row>
    <row r="6">
      <c r="A6" s="3" t="inlineStr">
        <is>
          <t xml:space="preserve">CA cumule (Ventes)</t>
        </is>
      </c>
      <c r="B6" s="4">
        <f>SUMIFS(Journal!$G:$G,Journal!$C:$C,701,Journal!$H:$H,"&lt;="&amp;B$5)</f>
      </c>
      <c r="C6" s="4">
        <f>SUMIFS(Journal!$G:$G,Journal!$C:$C,701,Journal!$H:$H,"&lt;="&amp;C$5)</f>
      </c>
      <c r="D6" s="4">
        <f>SUMIFS(Journal!$G:$G,Journal!$C:$C,701,Journal!$H:$H,"&lt;="&amp;D$5)</f>
      </c>
      <c r="E6" s="4">
        <f>SUMIFS(Journal!$G:$G,Journal!$C:$C,701,Journal!$H:$H,"&lt;="&amp;E$5)</f>
      </c>
      <c r="F6" s="4">
        <f>SUMIFS(Journal!$G:$G,Journal!$C:$C,701,Journal!$H:$H,"&lt;="&amp;F$5)</f>
      </c>
      <c r="G6" s="4">
        <f>SUMIFS(Journal!$G:$G,Journal!$C:$C,701,Journal!$H:$H,"&lt;="&amp;G$5)</f>
      </c>
      <c r="H6" s="4">
        <f>SUMIFS(Journal!$G:$G,Journal!$C:$C,701,Journal!$H:$H,"&lt;="&amp;H$5)</f>
      </c>
      <c r="I6" s="4">
        <f>SUMIFS(Journal!$G:$G,Journal!$C:$C,701,Journal!$H:$H,"&lt;="&amp;I$5)</f>
      </c>
      <c r="J6" s="4">
        <f>SUMIFS(Journal!$G:$G,Journal!$C:$C,701,Journal!$H:$H,"&lt;="&amp;J$5)</f>
      </c>
      <c r="K6" s="4">
        <f>SUMIFS(Journal!$G:$G,Journal!$C:$C,701,Journal!$H:$H,"&lt;="&amp;K$5)</f>
      </c>
      <c r="L6" s="4">
        <f>SUMIFS(Journal!$G:$G,Journal!$C:$C,701,Journal!$H:$H,"&lt;="&amp;L$5)</f>
      </c>
      <c r="M6" s="4">
        <f>SUMIFS(Journal!$G:$G,Journal!$C:$C,701,Journal!$H:$H,"&lt;="&amp;M$5)</f>
      </c>
    </row>
    <row r="7">
      <c r="A7" s="3" t="inlineStr">
        <is>
          <t xml:space="preserve">Resultat cumule</t>
        </is>
      </c>
      <c r="B7" s="4">
        <f>SUMIFS(Journal!$G:$G,Journal!$C:$C,701,Journal!$H:$H,"&lt;="&amp;B$5)-SUMIFS(Journal!$F:$F,Journal!$C:$C,601,Journal!$H:$H,"&lt;="&amp;B$5)-(SUMIFS(Journal!$F:$F,Journal!$C:$C,6031,Journal!$H:$H,"&lt;="&amp;B$5)-SUMIFS(Journal!$G:$G,Journal!$C:$C,6031,Journal!$H:$H,"&lt;="&amp;B$5))-SUMIFS(Journal!$F:$F,Journal!$C:$C,62,Journal!$H:$H,"&lt;="&amp;B$5)-SUMIFS(Journal!$F:$F,Journal!$C:$C,66,Journal!$H:$H,"&lt;="&amp;B$5)-SUMIFS(Journal!$F:$F,Journal!$C:$C,681,Journal!$H:$H,"&lt;="&amp;B$5)-SUMIFS(Journal!$F:$F,Journal!$C:$C,671,Journal!$H:$H,"&lt;="&amp;B$5)-SUMIFS(Journal!$F:$F,Journal!$C:$C,891,Journal!$H:$H,"&lt;="&amp;B$5)</f>
      </c>
      <c r="C7" s="4">
        <f>SUMIFS(Journal!$G:$G,Journal!$C:$C,701,Journal!$H:$H,"&lt;="&amp;C$5)-SUMIFS(Journal!$F:$F,Journal!$C:$C,601,Journal!$H:$H,"&lt;="&amp;C$5)-(SUMIFS(Journal!$F:$F,Journal!$C:$C,6031,Journal!$H:$H,"&lt;="&amp;C$5)-SUMIFS(Journal!$G:$G,Journal!$C:$C,6031,Journal!$H:$H,"&lt;="&amp;C$5))-SUMIFS(Journal!$F:$F,Journal!$C:$C,62,Journal!$H:$H,"&lt;="&amp;C$5)-SUMIFS(Journal!$F:$F,Journal!$C:$C,66,Journal!$H:$H,"&lt;="&amp;C$5)-SUMIFS(Journal!$F:$F,Journal!$C:$C,681,Journal!$H:$H,"&lt;="&amp;C$5)-SUMIFS(Journal!$F:$F,Journal!$C:$C,671,Journal!$H:$H,"&lt;="&amp;C$5)-SUMIFS(Journal!$F:$F,Journal!$C:$C,891,Journal!$H:$H,"&lt;="&amp;C$5)</f>
      </c>
      <c r="D7" s="4">
        <f>SUMIFS(Journal!$G:$G,Journal!$C:$C,701,Journal!$H:$H,"&lt;="&amp;D$5)-SUMIFS(Journal!$F:$F,Journal!$C:$C,601,Journal!$H:$H,"&lt;="&amp;D$5)-(SUMIFS(Journal!$F:$F,Journal!$C:$C,6031,Journal!$H:$H,"&lt;="&amp;D$5)-SUMIFS(Journal!$G:$G,Journal!$C:$C,6031,Journal!$H:$H,"&lt;="&amp;D$5))-SUMIFS(Journal!$F:$F,Journal!$C:$C,62,Journal!$H:$H,"&lt;="&amp;D$5)-SUMIFS(Journal!$F:$F,Journal!$C:$C,66,Journal!$H:$H,"&lt;="&amp;D$5)-SUMIFS(Journal!$F:$F,Journal!$C:$C,681,Journal!$H:$H,"&lt;="&amp;D$5)-SUMIFS(Journal!$F:$F,Journal!$C:$C,671,Journal!$H:$H,"&lt;="&amp;D$5)-SUMIFS(Journal!$F:$F,Journal!$C:$C,891,Journal!$H:$H,"&lt;="&amp;D$5)</f>
      </c>
      <c r="E7" s="4">
        <f>SUMIFS(Journal!$G:$G,Journal!$C:$C,701,Journal!$H:$H,"&lt;="&amp;E$5)-SUMIFS(Journal!$F:$F,Journal!$C:$C,601,Journal!$H:$H,"&lt;="&amp;E$5)-(SUMIFS(Journal!$F:$F,Journal!$C:$C,6031,Journal!$H:$H,"&lt;="&amp;E$5)-SUMIFS(Journal!$G:$G,Journal!$C:$C,6031,Journal!$H:$H,"&lt;="&amp;E$5))-SUMIFS(Journal!$F:$F,Journal!$C:$C,62,Journal!$H:$H,"&lt;="&amp;E$5)-SUMIFS(Journal!$F:$F,Journal!$C:$C,66,Journal!$H:$H,"&lt;="&amp;E$5)-SUMIFS(Journal!$F:$F,Journal!$C:$C,681,Journal!$H:$H,"&lt;="&amp;E$5)-SUMIFS(Journal!$F:$F,Journal!$C:$C,671,Journal!$H:$H,"&lt;="&amp;E$5)-SUMIFS(Journal!$F:$F,Journal!$C:$C,891,Journal!$H:$H,"&lt;="&amp;E$5)</f>
      </c>
      <c r="F7" s="4">
        <f>SUMIFS(Journal!$G:$G,Journal!$C:$C,701,Journal!$H:$H,"&lt;="&amp;F$5)-SUMIFS(Journal!$F:$F,Journal!$C:$C,601,Journal!$H:$H,"&lt;="&amp;F$5)-(SUMIFS(Journal!$F:$F,Journal!$C:$C,6031,Journal!$H:$H,"&lt;="&amp;F$5)-SUMIFS(Journal!$G:$G,Journal!$C:$C,6031,Journal!$H:$H,"&lt;="&amp;F$5))-SUMIFS(Journal!$F:$F,Journal!$C:$C,62,Journal!$H:$H,"&lt;="&amp;F$5)-SUMIFS(Journal!$F:$F,Journal!$C:$C,66,Journal!$H:$H,"&lt;="&amp;F$5)-SUMIFS(Journal!$F:$F,Journal!$C:$C,681,Journal!$H:$H,"&lt;="&amp;F$5)-SUMIFS(Journal!$F:$F,Journal!$C:$C,671,Journal!$H:$H,"&lt;="&amp;F$5)-SUMIFS(Journal!$F:$F,Journal!$C:$C,891,Journal!$H:$H,"&lt;="&amp;F$5)</f>
      </c>
      <c r="G7" s="4">
        <f>SUMIFS(Journal!$G:$G,Journal!$C:$C,701,Journal!$H:$H,"&lt;="&amp;G$5)-SUMIFS(Journal!$F:$F,Journal!$C:$C,601,Journal!$H:$H,"&lt;="&amp;G$5)-(SUMIFS(Journal!$F:$F,Journal!$C:$C,6031,Journal!$H:$H,"&lt;="&amp;G$5)-SUMIFS(Journal!$G:$G,Journal!$C:$C,6031,Journal!$H:$H,"&lt;="&amp;G$5))-SUMIFS(Journal!$F:$F,Journal!$C:$C,62,Journal!$H:$H,"&lt;="&amp;G$5)-SUMIFS(Journal!$F:$F,Journal!$C:$C,66,Journal!$H:$H,"&lt;="&amp;G$5)-SUMIFS(Journal!$F:$F,Journal!$C:$C,681,Journal!$H:$H,"&lt;="&amp;G$5)-SUMIFS(Journal!$F:$F,Journal!$C:$C,671,Journal!$H:$H,"&lt;="&amp;G$5)-SUMIFS(Journal!$F:$F,Journal!$C:$C,891,Journal!$H:$H,"&lt;="&amp;G$5)</f>
      </c>
      <c r="H7" s="4">
        <f>SUMIFS(Journal!$G:$G,Journal!$C:$C,701,Journal!$H:$H,"&lt;="&amp;H$5)-SUMIFS(Journal!$F:$F,Journal!$C:$C,601,Journal!$H:$H,"&lt;="&amp;H$5)-(SUMIFS(Journal!$F:$F,Journal!$C:$C,6031,Journal!$H:$H,"&lt;="&amp;H$5)-SUMIFS(Journal!$G:$G,Journal!$C:$C,6031,Journal!$H:$H,"&lt;="&amp;H$5))-SUMIFS(Journal!$F:$F,Journal!$C:$C,62,Journal!$H:$H,"&lt;="&amp;H$5)-SUMIFS(Journal!$F:$F,Journal!$C:$C,66,Journal!$H:$H,"&lt;="&amp;H$5)-SUMIFS(Journal!$F:$F,Journal!$C:$C,681,Journal!$H:$H,"&lt;="&amp;H$5)-SUMIFS(Journal!$F:$F,Journal!$C:$C,671,Journal!$H:$H,"&lt;="&amp;H$5)-SUMIFS(Journal!$F:$F,Journal!$C:$C,891,Journal!$H:$H,"&lt;="&amp;H$5)</f>
      </c>
      <c r="I7" s="4">
        <f>SUMIFS(Journal!$G:$G,Journal!$C:$C,701,Journal!$H:$H,"&lt;="&amp;I$5)-SUMIFS(Journal!$F:$F,Journal!$C:$C,601,Journal!$H:$H,"&lt;="&amp;I$5)-(SUMIFS(Journal!$F:$F,Journal!$C:$C,6031,Journal!$H:$H,"&lt;="&amp;I$5)-SUMIFS(Journal!$G:$G,Journal!$C:$C,6031,Journal!$H:$H,"&lt;="&amp;I$5))-SUMIFS(Journal!$F:$F,Journal!$C:$C,62,Journal!$H:$H,"&lt;="&amp;I$5)-SUMIFS(Journal!$F:$F,Journal!$C:$C,66,Journal!$H:$H,"&lt;="&amp;I$5)-SUMIFS(Journal!$F:$F,Journal!$C:$C,681,Journal!$H:$H,"&lt;="&amp;I$5)-SUMIFS(Journal!$F:$F,Journal!$C:$C,671,Journal!$H:$H,"&lt;="&amp;I$5)-SUMIFS(Journal!$F:$F,Journal!$C:$C,891,Journal!$H:$H,"&lt;="&amp;I$5)</f>
      </c>
      <c r="J7" s="4">
        <f>SUMIFS(Journal!$G:$G,Journal!$C:$C,701,Journal!$H:$H,"&lt;="&amp;J$5)-SUMIFS(Journal!$F:$F,Journal!$C:$C,601,Journal!$H:$H,"&lt;="&amp;J$5)-(SUMIFS(Journal!$F:$F,Journal!$C:$C,6031,Journal!$H:$H,"&lt;="&amp;J$5)-SUMIFS(Journal!$G:$G,Journal!$C:$C,6031,Journal!$H:$H,"&lt;="&amp;J$5))-SUMIFS(Journal!$F:$F,Journal!$C:$C,62,Journal!$H:$H,"&lt;="&amp;J$5)-SUMIFS(Journal!$F:$F,Journal!$C:$C,66,Journal!$H:$H,"&lt;="&amp;J$5)-SUMIFS(Journal!$F:$F,Journal!$C:$C,681,Journal!$H:$H,"&lt;="&amp;J$5)-SUMIFS(Journal!$F:$F,Journal!$C:$C,671,Journal!$H:$H,"&lt;="&amp;J$5)-SUMIFS(Journal!$F:$F,Journal!$C:$C,891,Journal!$H:$H,"&lt;="&amp;J$5)</f>
      </c>
      <c r="K7" s="4">
        <f>SUMIFS(Journal!$G:$G,Journal!$C:$C,701,Journal!$H:$H,"&lt;="&amp;K$5)-SUMIFS(Journal!$F:$F,Journal!$C:$C,601,Journal!$H:$H,"&lt;="&amp;K$5)-(SUMIFS(Journal!$F:$F,Journal!$C:$C,6031,Journal!$H:$H,"&lt;="&amp;K$5)-SUMIFS(Journal!$G:$G,Journal!$C:$C,6031,Journal!$H:$H,"&lt;="&amp;K$5))-SUMIFS(Journal!$F:$F,Journal!$C:$C,62,Journal!$H:$H,"&lt;="&amp;K$5)-SUMIFS(Journal!$F:$F,Journal!$C:$C,66,Journal!$H:$H,"&lt;="&amp;K$5)-SUMIFS(Journal!$F:$F,Journal!$C:$C,681,Journal!$H:$H,"&lt;="&amp;K$5)-SUMIFS(Journal!$F:$F,Journal!$C:$C,671,Journal!$H:$H,"&lt;="&amp;K$5)-SUMIFS(Journal!$F:$F,Journal!$C:$C,891,Journal!$H:$H,"&lt;="&amp;K$5)</f>
      </c>
      <c r="L7" s="4">
        <f>SUMIFS(Journal!$G:$G,Journal!$C:$C,701,Journal!$H:$H,"&lt;="&amp;L$5)-SUMIFS(Journal!$F:$F,Journal!$C:$C,601,Journal!$H:$H,"&lt;="&amp;L$5)-(SUMIFS(Journal!$F:$F,Journal!$C:$C,6031,Journal!$H:$H,"&lt;="&amp;L$5)-SUMIFS(Journal!$G:$G,Journal!$C:$C,6031,Journal!$H:$H,"&lt;="&amp;L$5))-SUMIFS(Journal!$F:$F,Journal!$C:$C,62,Journal!$H:$H,"&lt;="&amp;L$5)-SUMIFS(Journal!$F:$F,Journal!$C:$C,66,Journal!$H:$H,"&lt;="&amp;L$5)-SUMIFS(Journal!$F:$F,Journal!$C:$C,681,Journal!$H:$H,"&lt;="&amp;L$5)-SUMIFS(Journal!$F:$F,Journal!$C:$C,671,Journal!$H:$H,"&lt;="&amp;L$5)-SUMIFS(Journal!$F:$F,Journal!$C:$C,891,Journal!$H:$H,"&lt;="&amp;L$5)</f>
      </c>
      <c r="M7" s="4">
        <f>SUMIFS(Journal!$G:$G,Journal!$C:$C,701,Journal!$H:$H,"&lt;="&amp;M$5)-SUMIFS(Journal!$F:$F,Journal!$C:$C,601,Journal!$H:$H,"&lt;="&amp;M$5)-(SUMIFS(Journal!$F:$F,Journal!$C:$C,6031,Journal!$H:$H,"&lt;="&amp;M$5)-SUMIFS(Journal!$G:$G,Journal!$C:$C,6031,Journal!$H:$H,"&lt;="&amp;M$5))-SUMIFS(Journal!$F:$F,Journal!$C:$C,62,Journal!$H:$H,"&lt;="&amp;M$5)-SUMIFS(Journal!$F:$F,Journal!$C:$C,66,Journal!$H:$H,"&lt;="&amp;M$5)-SUMIFS(Journal!$F:$F,Journal!$C:$C,681,Journal!$H:$H,"&lt;="&amp;M$5)-SUMIFS(Journal!$F:$F,Journal!$C:$C,671,Journal!$H:$H,"&lt;="&amp;M$5)-SUMIFS(Journal!$F:$F,Journal!$C:$C,891,Journal!$H:$H,"&lt;="&amp;M$5)</f>
      </c>
    </row>
    <row r="8">
      <c r="A8" s="3" t="inlineStr">
        <is>
          <t xml:space="preserve">Tresorerie (Banques)</t>
        </is>
      </c>
      <c r="B8" s="4">
        <f>SUMIFS(Journal!$F:$F,Journal!$C:$C,52,Journal!$H:$H,"&lt;="&amp;B$5)-SUMIFS(Journal!$G:$G,Journal!$C:$C,52,Journal!$H:$H,"&lt;="&amp;B$5)</f>
      </c>
      <c r="C8" s="4">
        <f>SUMIFS(Journal!$F:$F,Journal!$C:$C,52,Journal!$H:$H,"&lt;="&amp;C$5)-SUMIFS(Journal!$G:$G,Journal!$C:$C,52,Journal!$H:$H,"&lt;="&amp;C$5)</f>
      </c>
      <c r="D8" s="4">
        <f>SUMIFS(Journal!$F:$F,Journal!$C:$C,52,Journal!$H:$H,"&lt;="&amp;D$5)-SUMIFS(Journal!$G:$G,Journal!$C:$C,52,Journal!$H:$H,"&lt;="&amp;D$5)</f>
      </c>
      <c r="E8" s="4">
        <f>SUMIFS(Journal!$F:$F,Journal!$C:$C,52,Journal!$H:$H,"&lt;="&amp;E$5)-SUMIFS(Journal!$G:$G,Journal!$C:$C,52,Journal!$H:$H,"&lt;="&amp;E$5)</f>
      </c>
      <c r="F8" s="4">
        <f>SUMIFS(Journal!$F:$F,Journal!$C:$C,52,Journal!$H:$H,"&lt;="&amp;F$5)-SUMIFS(Journal!$G:$G,Journal!$C:$C,52,Journal!$H:$H,"&lt;="&amp;F$5)</f>
      </c>
      <c r="G8" s="4">
        <f>SUMIFS(Journal!$F:$F,Journal!$C:$C,52,Journal!$H:$H,"&lt;="&amp;G$5)-SUMIFS(Journal!$G:$G,Journal!$C:$C,52,Journal!$H:$H,"&lt;="&amp;G$5)</f>
      </c>
      <c r="H8" s="4">
        <f>SUMIFS(Journal!$F:$F,Journal!$C:$C,52,Journal!$H:$H,"&lt;="&amp;H$5)-SUMIFS(Journal!$G:$G,Journal!$C:$C,52,Journal!$H:$H,"&lt;="&amp;H$5)</f>
      </c>
      <c r="I8" s="4">
        <f>SUMIFS(Journal!$F:$F,Journal!$C:$C,52,Journal!$H:$H,"&lt;="&amp;I$5)-SUMIFS(Journal!$G:$G,Journal!$C:$C,52,Journal!$H:$H,"&lt;="&amp;I$5)</f>
      </c>
      <c r="J8" s="4">
        <f>SUMIFS(Journal!$F:$F,Journal!$C:$C,52,Journal!$H:$H,"&lt;="&amp;J$5)-SUMIFS(Journal!$G:$G,Journal!$C:$C,52,Journal!$H:$H,"&lt;="&amp;J$5)</f>
      </c>
      <c r="K8" s="4">
        <f>SUMIFS(Journal!$F:$F,Journal!$C:$C,52,Journal!$H:$H,"&lt;="&amp;K$5)-SUMIFS(Journal!$G:$G,Journal!$C:$C,52,Journal!$H:$H,"&lt;="&amp;K$5)</f>
      </c>
      <c r="L8" s="4">
        <f>SUMIFS(Journal!$F:$F,Journal!$C:$C,52,Journal!$H:$H,"&lt;="&amp;L$5)-SUMIFS(Journal!$G:$G,Journal!$C:$C,52,Journal!$H:$H,"&lt;="&amp;L$5)</f>
      </c>
      <c r="M8" s="4">
        <f>SUMIFS(Journal!$F:$F,Journal!$C:$C,52,Journal!$H:$H,"&lt;="&amp;M$5)-SUMIFS(Journal!$G:$G,Journal!$C:$C,52,Journal!$H:$H,"&lt;="&amp;M$5)</f>
      </c>
    </row>
    <row r="9"/>
    <row r="10">
      <c r="A10" s="1" t="inlineStr">
        <is>
          <t xml:space="preserve">STRUCTURE DU BILAN (31/12/2025)</t>
        </is>
      </c>
    </row>
    <row r="11">
      <c r="A11" s="1" t="inlineStr">
        <is>
          <t xml:space="preserve">Poste</t>
        </is>
      </c>
      <c r="B11" s="1" t="inlineStr">
        <is>
          <t xml:space="preserve">Montant</t>
        </is>
      </c>
    </row>
    <row r="12">
      <c r="A12" s="2" t="inlineStr">
        <is>
          <t xml:space="preserve">Actif immobilise</t>
        </is>
      </c>
      <c r="B12" s="4">
        <f>Bilan!D5</f>
      </c>
    </row>
    <row r="13">
      <c r="A13" s="2" t="inlineStr">
        <is>
          <t xml:space="preserve">Actif circulant</t>
        </is>
      </c>
      <c r="B13" s="4">
        <f>Bilan!D9</f>
      </c>
    </row>
    <row r="14">
      <c r="A14" s="2" t="inlineStr">
        <is>
          <t xml:space="preserve">Tresorerie-actif</t>
        </is>
      </c>
      <c r="B14" s="4">
        <f>Bilan!D12</f>
      </c>
    </row>
    <row r="15">
      <c r="A15" s="2" t="inlineStr">
        <is>
          <t xml:space="preserve">Capitaux propres</t>
        </is>
      </c>
      <c r="B15" s="4">
        <f>Bilan!D21</f>
      </c>
    </row>
    <row r="16">
      <c r="A16" s="2" t="inlineStr">
        <is>
          <t xml:space="preserve">Dettes financieres</t>
        </is>
      </c>
      <c r="B16" s="4">
        <f>Bilan!D24</f>
      </c>
    </row>
    <row r="17">
      <c r="A17" s="2" t="inlineStr">
        <is>
          <t xml:space="preserve">Passif circulant</t>
        </is>
      </c>
      <c r="B17" s="4">
        <f>Bilan!D28</f>
      </c>
    </row>
    <row r="18"/>
    <row r="19">
      <c r="A19" s="1" t="inlineStr">
        <is>
          <t xml:space="preserve">RATIOS CLES</t>
        </is>
      </c>
    </row>
    <row r="20">
      <c r="A20" s="1" t="inlineStr">
        <is>
          <t xml:space="preserve">Ratio</t>
        </is>
      </c>
      <c r="B20" s="1" t="inlineStr">
        <is>
          <t xml:space="preserve">Valeur</t>
        </is>
      </c>
    </row>
    <row r="21">
      <c r="A21" s="2" t="inlineStr">
        <is>
          <t xml:space="preserve">Autonomie financiere</t>
        </is>
      </c>
      <c r="B21" s="6">
        <f>Ratios!B5</f>
      </c>
    </row>
    <row r="22">
      <c r="A22" s="2" t="inlineStr">
        <is>
          <t xml:space="preserve">Taux de marge commerciale</t>
        </is>
      </c>
      <c r="B22" s="6">
        <f>Ratios!B7</f>
      </c>
    </row>
    <row r="23">
      <c r="A23" s="2" t="inlineStr">
        <is>
          <t xml:space="preserve">Taux de valeur ajoutee</t>
        </is>
      </c>
      <c r="B23" s="6">
        <f>Ratios!B8</f>
      </c>
    </row>
    <row r="24">
      <c r="A24" s="2" t="inlineStr">
        <is>
          <t xml:space="preserve">Marge nette</t>
        </is>
      </c>
      <c r="B24" s="6">
        <f>Ratios!B9</f>
      </c>
    </row>
    <row r="25">
      <c r="A25" s="2" t="inlineStr">
        <is>
          <t xml:space="preserve">Rentabilite des capitaux (ROE)</t>
        </is>
      </c>
      <c r="B25" s="6">
        <f>Ratios!B10</f>
      </c>
    </row>
    <row r="26">
      <c r="A26" s="2" t="inlineStr">
        <is>
          <t xml:space="preserve">Rentabilite de l'actif (ROA)</t>
        </is>
      </c>
      <c r="B26" s="6">
        <f>Ratios!B11</f>
      </c>
    </row>
  </sheetData>
  <mergeCells count="4">
    <mergeCell ref="A1:M1"/>
    <mergeCell ref="A3:M3"/>
    <mergeCell ref="A10:B10"/>
    <mergeCell ref="A19:B19"/>
  </mergeCells>
  <drawing r:id="rId1"/>
</worksheet>
</file>